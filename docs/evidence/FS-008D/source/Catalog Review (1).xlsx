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Catalog Review" sheetId="2" r:id="rId6"/>
    <sheet state="visible" name="Gap Register" sheetId="3" r:id="rId7"/>
    <sheet state="visible" name="Room Standards" sheetId="4" r:id="rId8"/>
    <sheet state="visible" name="Vendors" sheetId="5" r:id="rId9"/>
    <sheet state="visible" name="Source Reference" sheetId="6" r:id="rId10"/>
    <sheet state="visible" name="Data Dictionary" sheetId="7" r:id="rId11"/>
  </sheets>
  <definedNames>
    <definedName hidden="1" localSheetId="1" name="_xlnm._FilterDatabase">'Catalog Review'!$A$4:$R$114</definedName>
  </definedNames>
  <calcPr/>
</workbook>
</file>

<file path=xl/sharedStrings.xml><?xml version="1.0" encoding="utf-8"?>
<sst xmlns="http://schemas.openxmlformats.org/spreadsheetml/2006/main" count="2227" uniqueCount="588">
  <si>
    <t>Essentials Catalog Readiness</t>
  </si>
  <si>
    <t>Luxe Haven Essentials — Catalog Review</t>
  </si>
  <si>
    <t>Seeded from Todd Furniture Calculator (1).xlsx. Prices and availability are unverified source values until reviewed.</t>
  </si>
  <si>
    <t>Approved baseline</t>
  </si>
  <si>
    <t>2BR / 2BA · sleeps 6 · warm modern</t>
  </si>
  <si>
    <t>Product ID</t>
  </si>
  <si>
    <t>Metric</t>
  </si>
  <si>
    <t>Room</t>
  </si>
  <si>
    <t>Category</t>
  </si>
  <si>
    <t>Item</t>
  </si>
  <si>
    <t>Value</t>
  </si>
  <si>
    <t>Retailer</t>
  </si>
  <si>
    <t>Quantity</t>
  </si>
  <si>
    <t>Unit Price</t>
  </si>
  <si>
    <t>Seed Cost</t>
  </si>
  <si>
    <t>Extended Cost</t>
  </si>
  <si>
    <t>Priority</t>
  </si>
  <si>
    <t>Target Low</t>
  </si>
  <si>
    <t>Source Status</t>
  </si>
  <si>
    <t>Target High</t>
  </si>
  <si>
    <t>Review Status</t>
  </si>
  <si>
    <t>Current Signal</t>
  </si>
  <si>
    <t>Procurement Class</t>
  </si>
  <si>
    <t>Supply Treatment</t>
  </si>
  <si>
    <t>Seed product lines</t>
  </si>
  <si>
    <t>Source URL</t>
  </si>
  <si>
    <t>Essentials — Sourcing Gap Register</t>
  </si>
  <si>
    <t>Approved Essentials Baseline</t>
  </si>
  <si>
    <t>Variant / Specifications</t>
  </si>
  <si>
    <t>Gap ID</t>
  </si>
  <si>
    <t>Substitution</t>
  </si>
  <si>
    <t>Last Verified</t>
  </si>
  <si>
    <t>Source Row</t>
  </si>
  <si>
    <t>Requirement</t>
  </si>
  <si>
    <t>Standard</t>
  </si>
  <si>
    <t>ESS-0001</t>
  </si>
  <si>
    <t>Approved Decision</t>
  </si>
  <si>
    <t>Operational Note</t>
  </si>
  <si>
    <t>Living Room</t>
  </si>
  <si>
    <t>Furniture</t>
  </si>
  <si>
    <t>Action Needed</t>
  </si>
  <si>
    <t>Coffee Table and Side Table Set</t>
  </si>
  <si>
    <t>Property</t>
  </si>
  <si>
    <t>Requirement State</t>
  </si>
  <si>
    <t>Walmart</t>
  </si>
  <si>
    <t>Sourcing Status</t>
  </si>
  <si>
    <t>Estimated Cost</t>
  </si>
  <si>
    <t>GAP-001</t>
  </si>
  <si>
    <t>2-bedroom / 2-bath</t>
  </si>
  <si>
    <t>Occupancy</t>
  </si>
  <si>
    <t>TV surge protector</t>
  </si>
  <si>
    <t>Launch-critical</t>
  </si>
  <si>
    <t>https://www.amazon.com/Charger-Protector-QINLIANF-Extender-Charging/dp/B08R6T1M9T?tag=lifewire-paid-20&amp;ascsubtag=11712201%7C%7C%7C%7C%7C%7Cpc&amp;th=1</t>
  </si>
  <si>
    <t>6 guests</t>
  </si>
  <si>
    <t>Two queen beds + queen sleeper sofa</t>
  </si>
  <si>
    <t>Style</t>
  </si>
  <si>
    <t>Warm modern</t>
  </si>
  <si>
    <t>Warm woods, soft neutrals, black/aged-brass accents</t>
  </si>
  <si>
    <t>Budget target</t>
  </si>
  <si>
    <t>Operational</t>
  </si>
  <si>
    <t>Candidate</t>
  </si>
  <si>
    <t>$11000-$14000</t>
  </si>
  <si>
    <t>Products and delivery</t>
  </si>
  <si>
    <t>Flexibility ceiling</t>
  </si>
  <si>
    <t>Needs review</t>
  </si>
  <si>
    <t>$15,500</t>
  </si>
  <si>
    <t>Furnishing order</t>
  </si>
  <si>
    <t>Tax, assembly, installation, mounting labor and service fees excluded</t>
  </si>
  <si>
    <t>Living room</t>
  </si>
  <si>
    <t>Sleeper sofa; seating for 5; 55–65 in TV; mount; console; tables; lighting; rug; décor</t>
  </si>
  <si>
    <t>TV package includes surge protection and cable management</t>
  </si>
  <si>
    <t>Durable furnishing</t>
  </si>
  <si>
    <t>Primary bedroom</t>
  </si>
  <si>
    <t>Queen bed; mattress; storage; bedside surfaces/lights; TV/mount; charging; mirror; luggage support</t>
  </si>
  <si>
    <t>Two-sided bed access where feasible</t>
  </si>
  <si>
    <t>https://www.walmart.com/ip/Baxluxe-3-Pieces-Living-Room-Coffee-Table-Set-Retro-Coffee-Table-2-Square-End-Tables-Tea-Table-Set-Metal-Frame-Apartment-Home-Office-Gray/17210359637?athAsset=eyJhdGhjcGlkIjoiMTcyMTAzNTk2MzciLCJhdGhzdGlkIjoiQ1M0Nzh%2BQ1MwOTgiLCJhdGhwb3NiIjoiMTYiLCJhdGhhbmNpZCI6IjE2NTIyODczMDQ2IiwiYXRocmsiOjAuMH0=&amp;athena=true&amp;ssp=AMCF&amp;athbdg=L1600</t>
  </si>
  <si>
    <t>Second bedroom</t>
  </si>
  <si>
    <t>Same functional standard as primary</t>
  </si>
  <si>
    <t>Dining</t>
  </si>
  <si>
    <t>Seed extended cost</t>
  </si>
  <si>
    <t>Seating for 6</t>
  </si>
  <si>
    <t>Normal use cannot depend on stored leaves</t>
  </si>
  <si>
    <t>Kitchen</t>
  </si>
  <si>
    <t>Place settings for 8; essential cookware and small appliances</t>
  </si>
  <si>
    <t>Durable and simple guest operation</t>
  </si>
  <si>
    <t>Bathrooms</t>
  </si>
  <si>
    <t>Two towel sets per guest; hair dryers; bath mats; storage; utility items</t>
  </si>
  <si>
    <t>Bedrooms</t>
  </si>
  <si>
    <t>Operating consumables tracked separately</t>
  </si>
  <si>
    <t>Required</t>
  </si>
  <si>
    <t>Workspace</t>
  </si>
  <si>
    <t>Real desk; supportive chair; task light; grounded power; charging; waste bin</t>
  </si>
  <si>
    <t>Not a decorative console</t>
  </si>
  <si>
    <t>Items needing retailer/spec replacement</t>
  </si>
  <si>
    <t>GAP-002</t>
  </si>
  <si>
    <t>TV cable-management kit</t>
  </si>
  <si>
    <t>https://www.walmart.com/ip/Cord-Hider-Delamu-31-4-Cord-Cover-Large-PVC-Wire-Cable-Hider-for-Wall-Mounted-TV-White/634148719?wmlspartner=wlpa&amp;selectedSellerId=101073679&amp;selectedOfferId=91121EF9C4944C0AB4DFC75C86387EAF&amp;conditionGroupCode=1&amp;sourceid=dsn_gdn_0c92c416-dbd6-42ec-845c-ecf69af2153d&amp;veh=dsn&amp;wmlspartner=dsn_gdn_0c92c416-dbd6-42ec-845c-ecf69af2153d&amp;cn=0042_fy27_mp_mpa_lo_int_dis_pmax-p13n&amp;wl0=&amp;wl1=g&amp;wl2=c&amp;wl3=&amp;wl4=&amp;wl5=9027296&amp;wl6=&amp;wl7=&amp;wl8=&amp;wl9=pla&amp;wl10=479410972&amp;wl11=online&amp;wl12=91121EF9C4944C0AB4DFC75C86387EAF&amp;gclsrc=aw.ds&amp;gad_source=1&amp;gad_campaignid=23148469844&amp;gbraid=0AAAAADmfBIocJf8YW8QOBZcx1GCJBtAZ_&amp;gclid=Cj0KCQjw16_UBhCqARIsAIdOaXwzIyumOB5atjOeQw2Xh8G_UioBeGYJdg5EyqcjpcoJPx4KUp-OMOAaAkTXEALw_wcB</t>
  </si>
  <si>
    <t>Incomplete source lines</t>
  </si>
  <si>
    <t>Not defined</t>
  </si>
  <si>
    <t>ESS-0002</t>
  </si>
  <si>
    <t>Technology &amp; Safety</t>
  </si>
  <si>
    <t>TV stand</t>
  </si>
  <si>
    <t>Open sourcing gaps</t>
  </si>
  <si>
    <t>https://www.walmart.com/ip/River-Street-Designs-Sage-52-Metal-Frame-TV-Stand-Natural-Black/444185047?classType=REGULAR</t>
  </si>
  <si>
    <t>ESS-0003</t>
  </si>
  <si>
    <t>Dining Table</t>
  </si>
  <si>
    <t>Wayfair</t>
  </si>
  <si>
    <t>GAP-003</t>
  </si>
  <si>
    <t>Entry / Shared</t>
  </si>
  <si>
    <t>Primary Bedroom</t>
  </si>
  <si>
    <t>Delivery</t>
  </si>
  <si>
    <t>https://www.wayfair.com/furniture/pdp/17-stories-ryota-rectangular-275-l-x-43-w-dining-set-w110029078.html?piid=14641350&amp;auctionId=84e30a44-8542-4147-bb3a-a6ae12168151&amp;trackingId=%7B%22adType%22%3A%22WSP%22%2C%22auctionId%22%3A%2284e30a44-8542-4147-bb3a-a6ae12168151%22%7D&amp;adTypeId=1</t>
  </si>
  <si>
    <t>GAP-004</t>
  </si>
  <si>
    <t>How to use: review each Catalog Review line, choose a Review Status, replace legacy retailers/specifications, and source each Gap Register requirement. Revalidate prices, availability, variants, return policies, delivery, and TV/mount compatibility before procurement.</t>
  </si>
  <si>
    <t>GAP-005</t>
  </si>
  <si>
    <t>Second Bedroom</t>
  </si>
  <si>
    <t>GAP-006</t>
  </si>
  <si>
    <t>ESS-0004</t>
  </si>
  <si>
    <t>Ring Doorbell Kit (wireless)</t>
  </si>
  <si>
    <t>Amazon</t>
  </si>
  <si>
    <t>GAP-007</t>
  </si>
  <si>
    <t>Initial setup only</t>
  </si>
  <si>
    <t>Dresser or wardrobe</t>
  </si>
  <si>
    <t>https://www.amazon.com/dp/B09WZBPX7K/?coliid=I3L5N7BZGIHVZW&amp;colid=1M4ZRDEJBTOSI&amp;th=1</t>
  </si>
  <si>
    <t>https://www.walmart.com/ip/HODYANN-Portable-Closet-Wardrobe-Closet-6-Storage-Shelves-2-Hanging-Rods-Non-Woven-Fabric-Cover-34-6-x-17-7-66-1-Inches-Organizer-Bedroom-Gray/17323303546?wmlspartner=wlpa&amp;selectedSellerId=101187780&amp;selectedOfferId=C1F8DDFDDAFC3693A8BA05058ECF2273&amp;conditionGroupCode=1&amp;gclsrc=aw.ds&amp;&amp;adid=22222222227C1F8DDFDDAFC3693A8BA05058ECF2273_200921946602_24153394724&amp;wl0=&amp;wl1=g&amp;wl2=c&amp;wl3=821367569901&amp;wl4=pla-2444379397870&amp;wl5=9027296&amp;wl6=&amp;wl7=&amp;wl8=&amp;wl9=pla&amp;wl10=765412572&amp;wl11=online&amp;wl12=C1F8DDFDDAFC3693A8BA05058ECF2273&amp;veh=sem&amp;gad_source=1&amp;gad_campaignid=24153394724&amp;gbraid=0AAAABDAnf96LmG27oLniUmN1PzXdM-VVX&amp;gclid=Cj0KCQjw16_UBhCqARIsAIdOaXwXmZCZiEOXfpMdTDTLO9yapxIU3gSpgzE4SeDU5rsB-y_Ir837mlQaAtYrEALw_wcB</t>
  </si>
  <si>
    <t>ESS-0005</t>
  </si>
  <si>
    <t>Schalge Encode</t>
  </si>
  <si>
    <t>https://www.amazon.com/dp/B07HXFKMYR/?coliid=I5BG3QRC5EMKU&amp;colid=1M4ZRDEJBTOSI&amp;th=1</t>
  </si>
  <si>
    <t>ESS-0006</t>
  </si>
  <si>
    <t>TV Mount</t>
  </si>
  <si>
    <t>https://www.walmart.com/ip/Full-Motion-Articulating-TV-Wall-Mount-Bracket-Swivel-Tilting-Fits-26-65-Inch-Flat-Curved-TVs-Holds-up-to-99lbs/148790691?wmlspartner=wlpa&amp;selectedSellerId=102594905&amp;selectedOfferId=C3BA38E0BCA2329986317E165F8874BC&amp;conditionGroupCode=1&amp;gclsrc=aw.ds&amp;&amp;adid=22222222227C3BA38E0BCA2329986317E165F8874BC_198068869633_23857841887&amp;wl0=&amp;wl1=g&amp;wl2=c&amp;wl3=809139801293&amp;wl4=pla-2483468578281&amp;wl5=9027296&amp;wl6=&amp;wl7=&amp;wl8=&amp;wl9=pla&amp;wl10=5469150719&amp;wl11=online&amp;wl12=C3BA38E0BCA2329986317E165F8874BC&amp;veh=sem&amp;gad_source=1&amp;gad_campaignid=23857841887&amp;gbraid=0AAAABDAnf97DbT-I179GyN1uuWAMb62nN&amp;gclid=Cj0KCQjwm8bTBhDWARIsAC9Hi8lce0YQZUmNpxDX2e9gkBK3LFY_UtxkoHi526hlhVNuNG_bI9quDyUaAokCEALw_wcB</t>
  </si>
  <si>
    <t>ESS-0008</t>
  </si>
  <si>
    <t>55 inch Smart TV</t>
  </si>
  <si>
    <t>https://www.walmart.com/ip/Onn-55-4K-UHD-POWERED-BY-nbsp-VIZIO-nbsp-TV/16112057713?classType=REGULAR&amp;athbdg=L1200&amp;from=/search</t>
  </si>
  <si>
    <t>ESS-0009</t>
  </si>
  <si>
    <t>Textiles</t>
  </si>
  <si>
    <t>Throw Pillows 20x20 (set of 2)</t>
  </si>
  <si>
    <t>GAP-008</t>
  </si>
  <si>
    <t>Experience</t>
  </si>
  <si>
    <t>https://www.walmart.com/ip/seot/12769156945?listRegistryId=5b62a874-18a6-4aa7-ae38-49a6da8ee6d7&amp;listRegistryType=WL</t>
  </si>
  <si>
    <t>GAP-009</t>
  </si>
  <si>
    <t>Practical dressing mirror</t>
  </si>
  <si>
    <t>ESS-0010</t>
  </si>
  <si>
    <t>https://www.walmart.com/ip/BLACK-GALLERY-OTD/14609716185</t>
  </si>
  <si>
    <t>Sofa</t>
  </si>
  <si>
    <t>https://www.walmart.com/ip/Asofer-3-in-1-Convertible-Sofa-Bed-with-Pull-Out-Couch-Storage-Armrests-Adjustable-Backrest-Dark-Gray/18877011143?wmlspartner=wlpa&amp;selectedSellerId=101568055&amp;gclsrc=aw.ds&amp;&amp;adid=2222222222718877011143_101568055_197550293509_23983641304&amp;wl0=&amp;wl1=g&amp;wl2=c&amp;wl3=814384077295&amp;wl4=pla-2488144350671&amp;wl5=9027296&amp;wl6=&amp;wl7=&amp;wl8=&amp;wl9=pla&amp;wl10=5324904963&amp;wl11=online&amp;wl12=18877011143_101568055&amp;veh=sem&amp;gad_source=1&amp;gad_campaignid=23983641304&amp;gbraid=0AAAABDAnf94aVAcpCqC-W5PtSYyUiR2eo&amp;gclid=CjwKCAjwy5rUBhB5EiwAIoAtCsxAQw3ZBOggUWULhGJUDa1NSgNpKNh_Nyvamr5y8lwA7ay0XheN7xoCgTgQAvD_BwE</t>
  </si>
  <si>
    <t>GAP-010</t>
  </si>
  <si>
    <t>GAP-011</t>
  </si>
  <si>
    <t>Luggage rack</t>
  </si>
  <si>
    <t>https://www.walmart.com/ip/SONGMICS-Luggage-Racks-Set-of-2-Suitcase-Stand-with-Fabric-Storage-Shelf-for-Guest-Room-Bedroom-Hotel-Foldable-Holds-up-to-110-lb-Black/3436867722?wmlspartner=wlpa&amp;selectedSellerId=101068213&amp;selectedOfferId=FC0881491E1846B79773F748FC0A4588&amp;conditionGroupCode=1&amp;adid=22222222227FC0881491E1846B79773F748FC0A4588_186603386549_23034149881&amp;wl0=&amp;wl1=g&amp;wl2=c&amp;wl3=779198807195&amp;wl4=pla-2444484496258&amp;wl5=9027296&amp;wl6=&amp;wl7=&amp;wl8=&amp;wl9=pla&amp;wl10=382394450&amp;wl11=online&amp;wl12=FC0881491E1846B79773F748FC0A4588&amp;veh=sem&amp;gad_source=1&amp;gad_campaignid=23034149881&amp;gbraid=0AAAABDAnf97NV0cpAnztr1FsIW9UtU5A_&amp;gclid=Cj0KCQjw16_UBhCqARIsAIdOaXx6s9XZXneJlIe9SjqKAG6UPg0sIfmxI_oQ-Omlojj-EeYr9mJb6B8aApjDEALw_wcB</t>
  </si>
  <si>
    <t>ESS-0011</t>
  </si>
  <si>
    <t>Lighting</t>
  </si>
  <si>
    <t>Lamps</t>
  </si>
  <si>
    <t>Vendor Directory</t>
  </si>
  <si>
    <t>https://www.walmart.com/ip/DAYBETTER-Arc-Floor-Lamp-Living-Room-Farmhouse-Lamps-3-Color-Temperatures-Unique-Hanging-Douoble-Drum-Lampshade-Bedroom-Room/18562314755?wmlspartner=wlpa&amp;selectedSellerId=101074895&amp;selectedOfferId=AC99BEB3219931969E2902E1B9242D4B&amp;conditionGroupCode=1&amp;gclsrc=aw.ds&amp;&amp;adid=22222222227AC99BEB3219931969E2902E1B9242D4B_201917097554_24093496471&amp;wl0=&amp;wl1=g&amp;wl2=c&amp;wl3=818958117028&amp;wl4=pla-2480486220622&amp;wl5=9027296&amp;wl6=&amp;wl7=&amp;wl8=&amp;wl9=pla&amp;wl10=422556803&amp;wl11=online&amp;wl12=AC99BEB3219931969E2902E1B9242D4B&amp;veh=sem&amp;gad_source=4&amp;gad_campaignid=24093496471&amp;gbraid=0AAAABDAnf94mVWmpTXiy3-Xrej0PH456t&amp;gclid=CjwKCAjwy5rUBhB5EiwAIoAtCllch-DAs9IcVhvn8dIbXetXuQzGnM0SCw74AYS8Er2tBxuZFyE7YxoCweEQAvD_BwE</t>
  </si>
  <si>
    <t>Vendor ID</t>
  </si>
  <si>
    <t>Vendor</t>
  </si>
  <si>
    <t>Ordering Mode</t>
  </si>
  <si>
    <t>Primary Role</t>
  </si>
  <si>
    <t>Launch Status</t>
  </si>
  <si>
    <t>VEN-COSTCO</t>
  </si>
  <si>
    <t>Costco</t>
  </si>
  <si>
    <t>assisted_ordering</t>
  </si>
  <si>
    <t>Mattresses, selected furniture, TVs, appliances, durable goods</t>
  </si>
  <si>
    <t>GAP-012</t>
  </si>
  <si>
    <t>Approved launch retailer</t>
  </si>
  <si>
    <t>Task lamp</t>
  </si>
  <si>
    <t>VEN-WALMART</t>
  </si>
  <si>
    <t>https://www.walmart.com/ip/LED-Desk-Lamp-Dimmable-Desk-Light-Table-Lamp-Black/17707666750?classType=REGULAR&amp;from=/search</t>
  </si>
  <si>
    <t>Bedding, bath, kitchen, utility, rapid replacements</t>
  </si>
  <si>
    <t>VEN-AMAZON</t>
  </si>
  <si>
    <t>Kitchen, lighting, technology, safety, exact-spec products</t>
  </si>
  <si>
    <t>Avoid unverified marketplace sellers</t>
  </si>
  <si>
    <t>VEN-WAYFAIR</t>
  </si>
  <si>
    <t>Sleeper sofas, accent furniture, rugs, lighting, alternatives</t>
  </si>
  <si>
    <t>VEN-IKEA</t>
  </si>
  <si>
    <t>IKEA</t>
  </si>
  <si>
    <t>Beds, storage, dining, workspace, replacement-friendly furniture</t>
  </si>
  <si>
    <t>VEN-LOWES</t>
  </si>
  <si>
    <t>Lowe's</t>
  </si>
  <si>
    <t>external_order_recording</t>
  </si>
  <si>
    <t>Legacy source only</t>
  </si>
  <si>
    <t>Replace in launch catalog</t>
  </si>
  <si>
    <t>VEN-KOHLS</t>
  </si>
  <si>
    <t>Kohl's</t>
  </si>
  <si>
    <t>GAP-013</t>
  </si>
  <si>
    <t>Dark makeup cloth allocation</t>
  </si>
  <si>
    <t>https://www.amazon.com/dp/B0BLYP6GTJ?ref_=ppx_hzsearch_conn_dt_b_fed_asin_title_1&amp;th=1</t>
  </si>
  <si>
    <t>ESS-0012</t>
  </si>
  <si>
    <t>Décor</t>
  </si>
  <si>
    <t>Fake plants</t>
  </si>
  <si>
    <t>https://www.walmart.com/ip/5FT-Artificial-Ficus-Tree-with-Natural-Wood-Trunk-and-Lifelike-Leaves-Silk-Fake-Potted-Tree-with-Wood-Branches-Faux-Tree-for-Office-Home-Decor/5109329248?wmlspartner=wlpa&amp;selectedSellerId=101078367&amp;selectedOfferId=C62FB8449A9335D38C16FECD521683CE&amp;conditionGroupCode=1&amp;gclsrc=aw.ds&amp;&amp;adid=22222222227C62FB8449A9335D38C16FECD521683CE_186470818946_22924454142&amp;wl0=&amp;wl1=g&amp;wl2=c&amp;wl3=779154776326&amp;wl4=pla-2447080184631&amp;wl5=9027296&amp;wl6=&amp;wl7=&amp;wl8=&amp;wl9=pla&amp;wl10=422569237&amp;wl11=online&amp;wl12=C62FB8449A9335D38C16FECD521683CE&amp;veh=sem&amp;gad_source=1&amp;gad_campaignid=22924454142&amp;gbraid=0AAAABDAnf949hSuxQvhKJuICID3NCGzqU&amp;gclid=CjwKCAjwy5rUBhB5EiwAIoAtCl6pV0E2etwdzaXV12CdG78hb9zfZBq6-wWrRZl6gLTP9w1BVzw3MhoC9jwQAvD_BwE</t>
  </si>
  <si>
    <t>GAP-014</t>
  </si>
  <si>
    <t>Toilet brush</t>
  </si>
  <si>
    <t>https://www.amazon.com/dp/B0010B5EQS?tag=thespruce-paid-20&amp;ascsubtag=4158902%7C%7C%7C%7C%7C%7Cpc&amp;th=1</t>
  </si>
  <si>
    <t>GAP-015</t>
  </si>
  <si>
    <t>Duvet Cover</t>
  </si>
  <si>
    <t>https://www.amazon.com/dp/B01B87TMOS?asc_item-id=amzn1.ideas.1YW6WI7VZH3ZK&amp;th=1&amp;linkCode=ll1&amp;tag=new08e1-20&amp;linkId=0fc14dd32398a947f6b8cb734ec6a86a&amp;language=en_US&amp;ref_=as_li_ss_tl&amp;ascsubtag=srctok-293de660d98f7d5b&amp;btn_type=pt&amp;btn_ref=srctok-293de660d98f7d5b</t>
  </si>
  <si>
    <t>ESS-0013</t>
  </si>
  <si>
    <t>Rugs - Area 8x10</t>
  </si>
  <si>
    <t>https://www.amazon.com/dp/B0GTTYHLH4/ref=twister_B0G43JPZLX?_encoding=UTF8&amp;th=1</t>
  </si>
  <si>
    <t>ESS-0014</t>
  </si>
  <si>
    <t>Wall Art</t>
  </si>
  <si>
    <t>https://www.wayfair.com/decor-pillows/pdp/idea4wall-mid-century-shape-warm-brown-faded-black-abstract-lines-artwork-modern-minimalist-neutral-wall-pictures-framed-canvas-giclee-print-2-pieces-wall-art-16x24x2-pcs-24x36x2-pcs-sfta7516.html?piid=92285705%2C92285706%2C119463642</t>
  </si>
  <si>
    <t>GAP-016</t>
  </si>
  <si>
    <t>Wicker Baskets</t>
  </si>
  <si>
    <t>https://www.amazon.com/Seville-Classics-Foldable-Handwoven-Hyacinth/dp/B00C78TRG6/ref=sr_1_9?crid=3EBTFPFWQ2OJL&amp;dib=eyJ2IjoiMSJ9.E6l5MrQuSj5ZuatcBQVuozQAB7QDUS2Xs2SLA-frIsMSuEp8cxRFciG9cOKwlhM-9zo2fINJWTMHSJHYSN9nBN3uz-4L7LA6Im-sIa0dFlcv6Tx56FYAV65HVlv_1OUaNJUf9gUpnC-wsIMriI4GonjQk-rhd-_FxSSn9Mzu-s5dbkR3svgWOyA9jPSdUxKHv9-mNmqkiIF4P2qLlHSwTrSVlCiDVosZjGWORI4C6pVrbkhgctlXqyDi09fpMz44YNPF4h2STRzBiZtWgnIRvfYbMCNLGiOYq2b_HdAPRK4.JeuZH5PNIKW6xL1BUdN01POcfDWiimWQsWVOvCiFS8k&amp;dib_tag=se&amp;keywords=wicker&amp;qid=1787614612&amp;sprefix=wicker%2Caps%2C194&amp;sr=8-9&amp;th=1</t>
  </si>
  <si>
    <t>Source Workbook Reference</t>
  </si>
  <si>
    <t>ESS-0015</t>
  </si>
  <si>
    <t>Source Sheet</t>
  </si>
  <si>
    <t>Small Décor</t>
  </si>
  <si>
    <t>Section</t>
  </si>
  <si>
    <t>Source Note</t>
  </si>
  <si>
    <t>Consolidated</t>
  </si>
  <si>
    <t>https://www.amazon.com/Teenyyou-Centerpiece-Decorations-Natural-Decorative/dp/B0DB1WX11X/ref=sr_1_16?crid=2DHFZ951CMSNA&amp;dib=eyJ2IjoiMSJ9.bJuy5ysgscqE-qjq6fpmUugXuBaqd2fFlkCgaTg4MbpHzCBdePwv9_4T2-tPZJHiZNFfWIwPTzhvbvQ5d40N5s5g2np9bm4WYWq77XHungCtvLDKCZwlObM6bTzOyu66ezrfnSxyWXkXIGQwFJKj8izObMrsMKBNg7gYrdx9vJyhlk-wrEvHIQLLh5gsU1v7yP9vhRu2rSL99VSEPVFMzyY3H-j5oFgleixNCO3-xCUJVyUfnEh8asY556q70RiF8nODq9HX37VQqYEwGZP3TWil1DNct-MIoR88pHuM4go.cJJ1unB7fMJypK_Cat83vMy5pdlMpaE1W-pacq6THXQ&amp;dib_tag=se&amp;keywords=bowl%2Bwith%2Bdecorative%2Bball%2Bset&amp;qid=1787286303&amp;sprefix=bowl%2Bwith%2Bdecorative%2Bball%2Bset%2Caps%2C155&amp;sr=8-16&amp;th=1</t>
  </si>
  <si>
    <t>Side Table</t>
  </si>
  <si>
    <t>https://www.amazon.com/dp/B0CL4QPXQK/?coliid=I1K94TQBE6CKMP&amp;colid=1M4ZRDEJBTOSI&amp;th=1</t>
  </si>
  <si>
    <t>Imported as a seed candidate; not price/availability verified</t>
  </si>
  <si>
    <t>https://www.lowes.com/pd/Garvee-Dining-Table-Set-for-4-with-Storage-Rack-Kitchen-Table-and-Upholstered-Chairs-of-4-Wood-Tabletop-and-Heavy-Duty-Metel-Frame-Dining-Room-Set-for-Small-Space-Apartment-Brown/5017826543?user=shopping&amp;feed=yes&amp;utm_source=chatgpt.com</t>
  </si>
  <si>
    <t>None</t>
  </si>
  <si>
    <t>Coffee Table</t>
  </si>
  <si>
    <t>GAP-017</t>
  </si>
  <si>
    <t>Coffee table tray</t>
  </si>
  <si>
    <t>https://www.amazon.com/dp/B0CDLXVVVZ?ref_=ppx_hzsearch_conn_dt_b_fed_asin_title_1&amp;th=1</t>
  </si>
  <si>
    <t>50 inch Smart TV</t>
  </si>
  <si>
    <t>https://www.walmart.com/ip/seot/300694285?listRegistryId=5b62a874-18a6-4aa7-ae38-49a6da8ee6d7&amp;listRegistryType=WL</t>
  </si>
  <si>
    <t>https://www.walmart.com/ip/seot/9130900014?listRegistryId=e0137f6c-0e2c-4ff6-803f-31d87046ce07&amp;listRegistryType=WL</t>
  </si>
  <si>
    <t>ESS-0016</t>
  </si>
  <si>
    <t>Accent Chair</t>
  </si>
  <si>
    <t>https://www.walmart.com/ip/seot/5013201859?listRegistryId=e6b42c31-c60b-4a7a-b67b-0ae06309ed95&amp;listRegistryType=WL</t>
  </si>
  <si>
    <t>https://www.walmart.com/ip/DR-Planzen-5-feet-Artificial-Ficus-Tree-Lifelike-Greenery-Natural-Wood-Trunk-Living-Room-office-floor-corner-decor-Tall-Indoor-Artificial-Trees-Black/2805424764</t>
  </si>
  <si>
    <t>Rugs - Area 5x7</t>
  </si>
  <si>
    <t>https://www.amazon.com/PureCozy-Washable-Bedroom-Distressed-Medallion/dp/B0FLDJJXVJ/ref=sr_1_7?crid=3S30J6KAX77IN&amp;dib=eyJ2IjoiMSJ9.9aNMsF5Kw8XI_iKsdzjYlvCh73YQElRyDqS8i057hufrVXo8Y5xgBTF_Z7a9vcc3g3SzHOzvLHV4ixsUMXHhVLJXyf6T7RCZmTMP9P0BvfCuZ3f3Mop8k5loi_HkJ9nlt23rzV3S_LNQVdd4F9G4sapgkVUGxZXP-ts4BAz1cSWsAhGHWDaC5PW8TS5NMNSCmixDS6HPKgSpePuTs4MNKhVtVe2DpSxHRXGUmqDS9hIYKBYh7DlyBskIbLNQz8YNkmLeOv91A-Z-o9JwHgtnt8ZfU2zsYCRxXVibDHWcMi4.tJhXfsLAYt-U8EAMgPrK8KoPXcGGefg12YDEVZEdG8I&amp;dib_tag=se&amp;keywords=area%2Brug%2Bunder%2B70%2Bdollars&amp;qid=1775618533&amp;sprefix=area%2Brug%2Bunder%2B70%2Bdollars%2Caps%2C142&amp;sr=8-7&amp;th=1</t>
  </si>
  <si>
    <t>GAP-018</t>
  </si>
  <si>
    <t>Throw Blanket</t>
  </si>
  <si>
    <t>https://www.amazon.com/dp/B0BPLFGJ3B?ref_=ppx_hzsearch_conn_dt_b_fed_asin_title_1&amp;th=1</t>
  </si>
  <si>
    <t>IDEA4WALL Mid Century Shape Brown Faded Black Abstract Modern Pictures Framed 2 Pieces Canvas Print Wall Art &amp; Reviews | Wayfair</t>
  </si>
  <si>
    <t>https://www.walmart.com/ip/seot/8473020072?listRegistryId=e0137f6c-0e2c-4ff6-803f-31d87046ce07&amp;listRegistryType=WL</t>
  </si>
  <si>
    <t>ESS-0017</t>
  </si>
  <si>
    <t>Queen Bed Frame</t>
  </si>
  <si>
    <t>https://www.amazon.com/dp/B086M58PQ3/?coliid=I8MFC9QO4PAK4&amp;colid=1VYLQVL2D6O92&amp;th=1</t>
  </si>
  <si>
    <t>Queen 10 inch Memory Foam</t>
  </si>
  <si>
    <t>https://www.amazon.com/dp/B0CSJQGDC6/?coliid=I3RMXVUSK9XBCN&amp;colid=1VYLQVL2D6O92&amp;th=1</t>
  </si>
  <si>
    <t>GAP-019</t>
  </si>
  <si>
    <t>Game Set</t>
  </si>
  <si>
    <t>ESS-0018</t>
  </si>
  <si>
    <t>Other</t>
  </si>
  <si>
    <t>https://www.amazon.com/Mattel-Card-Game-Skip-Phase/dp/B00IIINF08/ref=sr_1_1?crid=306E77WCF2WJH&amp;dib=eyJ2IjoiMSJ9.849zX0Y8aeCESqcEBaG5EjDOyMZ4zyC_VuSio-JnMoZFaLu72Fk3Mijz5J_blMvywuX-BMqdASve5x9LGXnXLwxxWQz198rxTgV8BO_Q_Y_6rEP-xHHfPQhSdcviV3VWGQXS9DxdpOywPW7QZuzyRqlT0PaDnJ06H4usKRA3bBxEYnmDOFyGKmbvBjYVs_gjht-SDSK_4TmAkKxw3fd7ldrVEwKNbq7MkDMvX1F6Ey0Oh5Sp62-H4rjQyBGSqmqrysrp2Z01wjWOSH7wRXcQml5CTw3Y9-I5_FHJzFMTnew.lJtBA1mUstr6z0yv_Gac-9UvSXAWnlniZro-ZRjYX5U&amp;dib_tag=se&amp;keywords=card+game+set%2C+uno&amp;qid=1787614463&amp;sprefix=card+game+set%2C+uno%2Caps%2C179&amp;sr=8-1</t>
  </si>
  <si>
    <t>Catalog Data Dictionary</t>
  </si>
  <si>
    <t>Field</t>
  </si>
  <si>
    <t>ESS-0019</t>
  </si>
  <si>
    <t>Definition</t>
  </si>
  <si>
    <t>Nightstand</t>
  </si>
  <si>
    <t>Required for procurement</t>
  </si>
  <si>
    <t>https://www.walmart.com/ip/Mainstays-2-Drawer-Fabric-Nightstand-Brown-MDF-Front/5408951480</t>
  </si>
  <si>
    <t>Controlled values / rule</t>
  </si>
  <si>
    <t>Nightstand Lamp</t>
  </si>
  <si>
    <t>https://www.lowes.com/pd/BIGHOUSE-2-Pack-Touch-Control-Small-Table-Lamp-Set-With-USB-A-C-Charging-Ports-3-Way-Dimmable-Texture-Oatmeal-Linen-Shade-14-25-Inch-LED-Bulb-Included/5017067475</t>
  </si>
  <si>
    <t>Stable internal identifier</t>
  </si>
  <si>
    <t>Yes</t>
  </si>
  <si>
    <t>ESS-####</t>
  </si>
  <si>
    <t>Blackout Curtains (check room for correct size)</t>
  </si>
  <si>
    <t>https://www.amazon.com/dp/B09HBXQTLJ/?coliid=I2FDKI5OGXR160&amp;colid=1VYLQVL2D6O92&amp;th=1</t>
  </si>
  <si>
    <t>ESS-0020</t>
  </si>
  <si>
    <t>Primary room assignment</t>
  </si>
  <si>
    <t>Living Room, Bedroom, Dining, Kitchen, Bathroom, Workspace, Entry, Project</t>
  </si>
  <si>
    <t>Wooden hangers - 20pk</t>
  </si>
  <si>
    <t xml:space="preserve">https://www.amazon.com/High-Grade-Hangers-Smooth-Precisely-Camisole/dp/B075FBQB2W/ref=sr_1_1_sspa?crid=FZHEWKOAQ0CU&amp;keywords=wooden+hangers&amp;qid=1671226028&amp;sprefix=wooden+%2Caps%2C664&amp;sr=8-1-spons&amp;psc=1&amp;spLa=ZW5jcnlwdGVkUXVhbGlmaWVyPUEzSUdYSzVQMDJBWUVLJmVuY3J5cHRlZElkPUEwNjM5NzI2M0tUQkFDQ0xOUDlXRCZlbmNyeXB0ZWRBZElkPUEwODI0NTEwMlYwRDJYS1MzMDFBRyZ3aWRnZXROYW1lPXNwX2F0ZiZhY3Rpb249Y2xpY2tSZWRpcmVjdCZkb05vdExvZ0NsaWNrPXRydWU= </t>
  </si>
  <si>
    <t>Governed product taxonomy</t>
  </si>
  <si>
    <t>Furniture, Textiles, Lighting, Technology &amp; Safety, etc.</t>
  </si>
  <si>
    <t>Current source retailer</t>
  </si>
  <si>
    <t>Curtain rod - wrap around (check room for correct size)</t>
  </si>
  <si>
    <t>Approved launch retailers preferred</t>
  </si>
  <si>
    <t>https://www.amazon.com/AmazonBasics-Room-Darkening-Curtain-Rod-Bronze/dp/B0792JTC66/ref=sr_1_1_sspa?crid=27WLJUKEZWKD&amp;keywords=curtain%2Brod%2Bwrap%2Baround&amp;qid=1671226100&amp;sprefix=curtain%2Brod%2Bwrap%2Baround%2Caps%2C128&amp;sr=8-1-spons&amp;spLa=ZW5jcnlwdGVkUXVhbGlmaWVyPUEzUEQ3MU5HOTlDRUpZJmVuY3J5cHRlZElkPUEwMTU3MTExMlMyOTY1UUg2V0pNNiZlbmNyeXB0ZWRBZElkPUEwNDQxNzkxVU9QOFBJTVY3SkJUJndpZGdldE5hbWU9c3BfYXRmJmFjdGlvbj1jbGlja1JlZGlyZWN0JmRvTm90TG9nQ2xpY2s9dHJ1ZQ&amp;th=1</t>
  </si>
  <si>
    <t>Quantity multiplied by unit price</t>
  </si>
  <si>
    <t>ESS-0021</t>
  </si>
  <si>
    <t>Utopia Bedding flat sheets 6 pack(Queen Size)</t>
  </si>
  <si>
    <t>Formula-driven</t>
  </si>
  <si>
    <t>https://www.amazon.com/Flat-Sheet-White-Brushed-Microfiber/dp/B00XK9CN3U/ref=sr_1_5?crid=1MFHWYB1ZK2TH&amp;keywords=utopia%2Bflat%2Bsheet%2Bset&amp;qid=1671226149&amp;sprefix=utopia%2Bflat%2Bsheet%2Bset%2Caps%2C144&amp;sr=8-5&amp;th=1</t>
  </si>
  <si>
    <t>Quality of imported source line</t>
  </si>
  <si>
    <t>Candidate, Incomplete, Replace retailer, Replace specification</t>
  </si>
  <si>
    <t>Todd's catalog decision</t>
  </si>
  <si>
    <t>Utopia Bedding fitted sheets 6 pack (Queen Size)</t>
  </si>
  <si>
    <t>Approve, alternative, Replace, Hold, Reject</t>
  </si>
  <si>
    <t>https://www.amazon.com/Utopia-Bedding-Queen-Fitted-Sheets/dp/B0C4MLW7D9/ref=dp_prsubs_d_sccl_1/147-6591985-7389022?pd_rd_w=f9c2S&amp;content-id=amzn1.sym.be3a2f09-77ee-4ba3-b2da-1b73c76c3fe2&amp;pf_rd_p=be3a2f09-77ee-4ba3-b2da-1b73c76c3fe2&amp;pf_rd_r=SR6HPF2TD5Q1BK633WC3&amp;pd_rd_wg=WNdIL&amp;pd_rd_r=dc58a7b3-0cbb-488e-91c1-6ff05ba531ff&amp;pd_rd_i=B0C4MLW7D9&amp;th=1</t>
  </si>
  <si>
    <t>https://www.amazon.com/dp/B0FWCRTG82/?coliid=I114SDJDGX8FKY&amp;colid=1VYLQVL2D6O92&amp;ref_=list_c_wl_lv_ov_lig_dp_it&amp;th=1</t>
  </si>
  <si>
    <t>Separates furnishings from replenishable supplies</t>
  </si>
  <si>
    <t>Cozy Comforter</t>
  </si>
  <si>
    <t>Furnishing order, Operating supply</t>
  </si>
  <si>
    <t>WDCOZY White Twin Size Quilt Bedding Sets with Pillow Sham, Lightweight Soft Bedspread Coverlet, Quilted Blanket Thin Comforter Bed Cover, All Season Summer Spring, 2 Pieces, 68x90 inches</t>
  </si>
  <si>
    <t>GAP-020</t>
  </si>
  <si>
    <t>Exact size, finish, color, model and SKU</t>
  </si>
  <si>
    <t>Yes before order</t>
  </si>
  <si>
    <t>Vases</t>
  </si>
  <si>
    <t>Free text until canonical variant table is activated</t>
  </si>
  <si>
    <t>Utopia Queen Pillow Cases 12pk</t>
  </si>
  <si>
    <t>https://www.walmart.com/ip/Artificial-Eucalyptus-Stems-Glass-Vase-Faux-Water-16-Fake-Plants-Home-Decor-Coffee-Table-Centerpieces-Office-Bathroom-Greenery-Decorations/18861365856</t>
  </si>
  <si>
    <t>Allowed substitution policy</t>
  </si>
  <si>
    <t>https://www.amazon.com/Utopia-Bedding-12-Pillowcases-Microfiber/dp/B00XK9CXSA/ref=sr_1_4?crid=1DRQ6ITYD2SZF&amp;keywords=Utopia%2Bqueen%2Bpillow%2Bcases%2B12pk&amp;qid=1671226393&amp;s=home-garden&amp;sprefix=utopia%2Bqu%2Bpillow%2Bcases%2B12pk%2Cgarden%2C578&amp;sr=1-4&amp;th=1</t>
  </si>
  <si>
    <t>Controlled values in Catalog Review</t>
  </si>
  <si>
    <t>Last price/availability check</t>
  </si>
  <si>
    <t>Mattress Cover - Queen</t>
  </si>
  <si>
    <t>Date</t>
  </si>
  <si>
    <t>https://www.amazon.com/Utopia-Bedding-Zippered-Mattress-Encasement/dp/B00U6HREPQ/ref=sr_1_7?crid=J2LMI68GP47D&amp;keywords=mattress%2Bcover%2Bqueen&amp;qid=1671226423&amp;s=home-garden&amp;sprefix=mattress%2Bcover%2Bqueen%2Cgarden%2C128&amp;sr=1-7&amp;th=1</t>
  </si>
  <si>
    <t>Home iron</t>
  </si>
  <si>
    <t>https://www.amazon.com/BLACK-DECKER-Steam-Compact-IR40V/dp/B01NB05WI5/ref=sr_1_3?crid=3SRPH0SJ3YAAV&amp;dib=eyJ2IjoiMSJ9.p2hkcOe6scoIMKHF6XWk_07hT-dRF2yflnGJJagPPKBz7-OtxVsfzrpITs_SUKMgtnMn6Loc4upUN3ZsFIBGvCEHYUwgvgcBYeX1U9HpHaVKOQ7MlWuLYwG5zm6NGsdEoPDW-egAuy0AUm7Pk6Mpq_EKc5_OMZSHkXLNCoGvaHingSgZcgc9AXyCJkWesdM0THficHMRS6KjhFQICclhz5M8cmBGNyZtOWZ5039yx7ghb8kdgwML19cEGUBJMDPGgQI0cQATKFnWAs5NGdg8mbKzKOR6dMgIJE8doiGf_NI.jWv6oQhUKop0BYFWI-aiU_wJzbaIgUplS5vEQQNnw1M&amp;dib_tag=se&amp;keywords=Home%2Biron&amp;qid=1756504640&amp;s=home-garden&amp;sprefix=home%2Biron%2Cgarden%2C125&amp;sr=1-3&amp;th=1</t>
  </si>
  <si>
    <t>ESS-0022</t>
  </si>
  <si>
    <t>Mini Ironing Table</t>
  </si>
  <si>
    <t>https://amzn.to/4tBhofx</t>
  </si>
  <si>
    <t>Desk Chair</t>
  </si>
  <si>
    <t>https://www.walmart.com/ip/JOINSUN-Comfy-Cute-Armlees-PU-Leather-Vanity-Rolling-Swuvel-Task-Chair-With-Wheels-and-Lumbar-Support-Brown/16111970868?wmlspartner=wlpa&amp;selectedSellerId=102692365&amp;selectedOfferId=805FB078D3603245A414590C6DB4DEB7&amp;conditionGroupCode=1&amp;utm_source=chatgpt.com</t>
  </si>
  <si>
    <t>GAP-021</t>
  </si>
  <si>
    <t>https://www.amazon.com/Dreamholder-Bedside-Charging-Holders-Nightstand/dp/B0H378M6XP/ref=sr_1_52?crid=1BLFXHA7EX9N3&amp;dib=eyJ2IjoiMSJ9.wfPbD8qvCSJdIuSibc-aE3ZS6w44Zw3Ybo2drejg6WrIQY-HWusWDzKzQDG1IC9PTbJ1tUMdeAN--oXNsdrSaryE9IaKC6rvdROUkLh3X_NckXoANcdLVCbFnhdER9LCGbZhiAP-RPur2a4fTl6ZGb_gBkqCkGHqV08OGr2pTwn_DfTojUTHnBtxcJm6-Nb2hMwAtAWqbP1wK9tD9iv2qGF9G1usJ0yTdJPd5mDdGoX-Ki-IMYkRV6Qk3NeV3agIwn5kYdVpbMCKW17xIYywx4ONAEiU8VsjytNl4Yk3BNk.7JQE1RYQP7cSQTpBCqE1g6JJOb9ZvBICScLDBCHeKvk&amp;dib_tag=se&amp;keywords=Small%2BTable%2BLamp%2BSet%2BWith%2BUSB%2BA%2BC%2BCharging%2BPorts&amp;nsdOptOutParam=true&amp;qid=1787200065&amp;sprefix=small%2Btable%2Blamp%2Bset%2Bwith%2Busb%2Ba%2Bc%2Bcharging%2Bports%2Caps%2C190&amp;sr=8-52&amp;th=1</t>
  </si>
  <si>
    <t>Dining Room</t>
  </si>
  <si>
    <t>Table Runner</t>
  </si>
  <si>
    <t>Writing Desk</t>
  </si>
  <si>
    <t>https://amzn.to/3Q091Mb</t>
  </si>
  <si>
    <t>https://www.walmart.com/ip/Sm-e-Sage-Green-Table-Runner-13x72-Inch-Seasonal-Washable-Kitchen-Dining-Table-Decoration-for-Home-Party/16468020336?wmlspartner=wlpa&amp;selectedSellerId=101090365&amp;selectedOfferId=D3F3FF6ADE14322EA3E6470B19730A60&amp;conditionGroupCode=1&amp;sourceid=dsn_gdn_0c92c416-dbd6-42ec-845c-ecf69af2153d&amp;veh=dsn&amp;wmlspartner=dsn_gdn_0c92c416-dbd6-42ec-845c-ecf69af2153d&amp;cn=0042_fy27_mp_mpa_lo_int_dis_pmax-p13n&amp;wl0=&amp;wl1=g&amp;wl2=c&amp;wl3=&amp;wl4=&amp;wl5=9027296&amp;wl6=&amp;wl7=&amp;wl8=&amp;wl9=pla&amp;wl10=466096436&amp;wl11=online&amp;wl12=D3F3FF6ADE14322EA3E6470B19730A60&amp;gclsrc=aw.ds&amp;gad_source=1&amp;gad_campaignid=23148469844&amp;gbraid=0AAAAADmfBIocJf8YW8QOBZcx1GCJBtAZ_&amp;gclid=Cj0KCQjw16_UBhCqARIsAIdOaXyV5J1UCF0r16dzAygnb6kaFBh35f3vNYY49bsg8i0RCmdA8EQSv4EaAuRKEALw_wcB</t>
  </si>
  <si>
    <t>Area Rug 5x7</t>
  </si>
  <si>
    <t>https://www.lowes.com/pd/Garvee-8-x-10-ft-Beige-Scalloped-Modern-Solid-Bedroom-Living-Room-Nursery-Kids-Room-Polyester-Rectangular-Machine-Washable-Soft-Non-Slip-Area-Rug/5017787801</t>
  </si>
  <si>
    <t>Pillows Firm (2pk)</t>
  </si>
  <si>
    <t>https://amzn.to/47Slt6N</t>
  </si>
  <si>
    <t>Pillows - Soft (2pk)</t>
  </si>
  <si>
    <t>https://amzn.to/4cwXBbr</t>
  </si>
  <si>
    <t>Trash Can</t>
  </si>
  <si>
    <t>https://www.walmart.com/ip/Sterilite-1-5-gal-Plastic-Oval-Vanity-Bathroom-Trash-Can-White/157431515?wmlspartner=wlpa&amp;selectedSellerId=0&amp;wl13=2767&amp;adid=22222222277157431515_117755028669_12420145346&amp;wmlspartner=wmtlabs&amp;wl0=&amp;wl1=g&amp;wl2=c&amp;wl3=501107745824&amp;wl4=pla-294505072980&amp;wl5=9060410&amp;wl6=&amp;wl7=&amp;wl8=&amp;wl9=pla&amp;wl10=8175035&amp;wl11=local&amp;wl12=157431515&amp;wl13=2767&amp;veh=sem_LIA&amp;gclid=CjwKCAiAy_CcBhBeEiwAcoMRHETwraouKpcyARzF7TWD6KLnXiKOopSysqB5m4Eeqn9qyX-plZcydxoCL2EQAvD_BwE&amp;gclsrc=aw.ds</t>
  </si>
  <si>
    <t>Hand Soap Dispenser</t>
  </si>
  <si>
    <t>https://www.amazon.com/Dispenser-Waterproof-Bathroom-Plastic-Kitchen/dp/B09J24RW5F/ref=sr_1_6?crid=2X26TX2X2BJBE&amp;keywords=soap+bottle+dispenser&amp;qid=1705208454&amp;sprefix=soap+bottle+dispe%2Caps%2C82&amp;sr=8-6</t>
  </si>
  <si>
    <t>Bath Towels 6pk</t>
  </si>
  <si>
    <t>https://www.costco.com/p/-/grandeur-hospitality-bath-towel-6-pack/100473115?langId=-1</t>
  </si>
  <si>
    <t>Hand Towels 12pk</t>
  </si>
  <si>
    <t>https://www.costco.com/p/-/grandeur-hospitality-towels-hand-towel-12-pack/100459652?langId=-1</t>
  </si>
  <si>
    <t>Wash cloths 24pk</t>
  </si>
  <si>
    <t>https://www.costco.com/p/-/grandeur-hospitality-towels-washcloth-24-piece/100459651?langId=-1</t>
  </si>
  <si>
    <t>30pk toilet paper</t>
  </si>
  <si>
    <t>https://www.costco.com/kirkland-signature-bath-tissue-2-ply-380-sheets-30-rolls.product.100645583.html</t>
  </si>
  <si>
    <t>Better Living Aviva 3 chamber Soap</t>
  </si>
  <si>
    <t>https://www.amazon.com/Clear-Choice-III-Soap-Dispenser/dp/B001CD4FWI/ref=sr_1_10?crid=8DNKXY5UF5LS&amp;keywords=Better+Living+Aviva+3+chamber+Soap&amp;qid=1671226730&amp;sprefix=%2Caps%2C409&amp;sr=8-10</t>
  </si>
  <si>
    <t>Conditioner</t>
  </si>
  <si>
    <t>https://www.amazon.com/gp/product/B00DQSKVIY/ref=ox_sc_act_title_1?smid=A2S2G0EC1ZWOMO&amp;th=1</t>
  </si>
  <si>
    <t>Shampoo</t>
  </si>
  <si>
    <t>amazon.com/gp/product/B00DQSHTWK/ref=ox_sc_act_title_2?smid=ATVPDKIKX0DER&amp;psc=1</t>
  </si>
  <si>
    <t>ESS-0023</t>
  </si>
  <si>
    <t>ESS-0024</t>
  </si>
  <si>
    <t>ESS-0025</t>
  </si>
  <si>
    <t>ESS-0026</t>
  </si>
  <si>
    <t>Initial and recurring</t>
  </si>
  <si>
    <t>ESS-0027</t>
  </si>
  <si>
    <t>ESS-0028</t>
  </si>
  <si>
    <t>Unknown</t>
  </si>
  <si>
    <t>https://www.amazon.com/gp/product/B01DE29JW0?tag=new08e1-20&amp;ie=UTF8&amp;th=1&amp;linkId=fa3066d6904106787133c86ab0e9b4cc&amp;ref_=as_li_ss_tl&amp;geniuslink=true&amp;ascsubtag=srctok-3d1aa4c44ce96f50&amp;btn_type=pt&amp;btn_ref=srctok-3d1aa4c44ce96f50</t>
  </si>
  <si>
    <t>ESS-0029</t>
  </si>
  <si>
    <t>ESS-0030</t>
  </si>
  <si>
    <t>ESS-0031</t>
  </si>
  <si>
    <t>Operations &amp; Utility</t>
  </si>
  <si>
    <t>ESS-0032</t>
  </si>
  <si>
    <t>Ironing Table</t>
  </si>
  <si>
    <t>ESS-0033</t>
  </si>
  <si>
    <t>https://www.wayfair.com/furniture/pdp/george-oliver-levnis-360-swivel-faux-leather-home-office-desk-chair-w114069782.html?piid=1657233047</t>
  </si>
  <si>
    <t>ESS-0034</t>
  </si>
  <si>
    <t>Body Wash</t>
  </si>
  <si>
    <t>https://www.amazon.com/Ginger-Lily-Farms-Botanicals-Cruelty-Free/dp/B00DQSKVIO/ref=sr_1_2_sspa?crid=2J5ARI0HCR3J&amp;dib=eyJ2IjoiMSJ9.9V2x6UxS6oW4h5HCH1MtK3Bnpiq2i-iY2HaEC-KBxfS_Te8UCOgizOvscZE7PZwDTglEGrcSu1gyNd5XJGgDUf8A_35-GqCuGqNkukJLOf7O-T48RY7zntjpwAQpJiaM5iT2RnMYkJEr6EnNAzUdIuJ4p3LVhjzfZh5N4-w6fcEjW0fJJujRVlTPqTTm3QPIi5PBAyjiNndzevZVc0RgX-DPVEIBbB2IMZ2RJcb36Ug.5Dn2m4IfwTBYjJc1qZIfHei8guC0MqrNXtO2yMwHwwM&amp;dib_tag=se&amp;keywords=Ginger%2BLily%2BFarms%2B1%2Bgal%2Bbody%2Bwash%2C%2BGreen%2BTea%2BLemongrass%2BScent&amp;nsdOptOutParam=true&amp;qid=1785891999&amp;sprefix=ginger%2Blily%2Bfarms%2B1%2Bgal%2Bbody%2Bwash%2C%2Bgreen%2Btea%2Blemongrass%2Bscent%2Caps%2C129&amp;sr=8-2-spons&amp;sp_csd=d2lkZ2V0TmFtZT1zcF9hdGY&amp;th=1</t>
  </si>
  <si>
    <t>ESS-0036</t>
  </si>
  <si>
    <t>Waffle Shower Curtain</t>
  </si>
  <si>
    <t>https://www.walmart.com/ip/AmazerBath-Waffle-Shower-Curtain-White-Curtain-Weave-Fabric-Textured-Heavy-Duty-Hotel-Quality-Bathroom-Curtains-72-x-Inches/5048870139?utm_medium=feed&amp;utm_source=chatgpt.com</t>
  </si>
  <si>
    <t>Hair Dryer</t>
  </si>
  <si>
    <t>https://www.amazon.com/gp/product/B008QMQXQY?tag=kitco079-20&amp;geniuslink=true</t>
  </si>
  <si>
    <t>ESS-0037</t>
  </si>
  <si>
    <t>Bath Mats 2pk</t>
  </si>
  <si>
    <t>https://www.kohls.com/product/prd-3768692/sonoma-goods-for-life-quick-dry-bath-rug.jsp?skuid=58790813&amp;utm_source=chatgpt.com</t>
  </si>
  <si>
    <t>First Aid Kit</t>
  </si>
  <si>
    <t>https://www.amazon.com/Johnson-Portable-Emergency-Assorted-Adhesive/dp/B0B41MYSGP/ref=sxts_b2b_sx_fused_v3_desktop_ref-tab-0?content-id=amzn1.sym.97762c05-7545-47e0-ae5c-1110ba2791f0%3Aamzn1.sym.97762c05-7545-47e0-ae5c-1110ba2791f0&amp;crid=1GXNIC74TPBLS&amp;cv_ct_cx=first+aid+kit&amp;keywords=first+aid+kit&amp;pd_rd_i=B0B41MYSGP&amp;pd_rd_r=188cfaca-2333-41f0-b0ab-184f7f6f1f88&amp;pd_rd_w=iILwG&amp;pd_rd_wg=yisq1&amp;pf_rd_p=97762c05-7545-47e0-ae5c-1110ba2791f0&amp;pf_rd_r=5F95R15MVVP6MPCMYQPE&amp;qid=1671226925&amp;sprefix=first+a%2Caps%2C565&amp;sr=1-5-965fba24-1eed-4536-936e-b447f98a83bc</t>
  </si>
  <si>
    <t>ESS-0038</t>
  </si>
  <si>
    <t>Curved Shower Rod</t>
  </si>
  <si>
    <t>https://amzn.to/4cyLieS</t>
  </si>
  <si>
    <t>Wall art</t>
  </si>
  <si>
    <t>https://amzn.to/47MrXnS</t>
  </si>
  <si>
    <t>Plunger</t>
  </si>
  <si>
    <t>https://www.amazon.com/EPiiChua-Bathroom-Garbage-Kitchen-Bedroom/dp/B0BKG7FD8T/ref=sr_1_20_sspa?crid=2SZ79LUUS6J3B&amp;dib=eyJ2IjoiMSJ9.DhEwDS1T9xEnfYkGyNbzjRrfF6cJYJd5BpP3Ej94aaKTy_js3ACpjNaT_V-P4ZlmpTVxsXpAQQxiFVvfxtZtiGmQB22kkS2P-Y4v0blWp8v3FKhxxYYvK7YT0lZP11mnuFMxJLrpAOdl2Bzh7O1OP9CEoC80V-xFiRuUJwo-1ZDV80455PHCMx8gQzYIayJGEMtbqQ32xFScorrIHgZQEFTs3mKXpPyvvPhZRfdGbPY-LU2msTNTX4lEx_PO4SJSOS6DsrySNT38uoCydjn8OX0X0Nl25stKQsnOGPTfvj0.fBXrde99ATiVSGUZ8fMzmJoJdREMHhMFg0sWFHE0ND8&amp;dib_tag=se&amp;keywords=office%2Btrash%2Bcan%2Bwith%2Blid&amp;qid=1787613373&amp;sprefix=office%2Btrash%2Bcan%2Bwith%2Blid%2Caps%2C237&amp;sr=8-20-spons&amp;sp_csd=d2lkZ2V0TmFtZT1zcF9tdGY&amp;th=1</t>
  </si>
  <si>
    <t>https://www.walmart.com/ip/Great-Value-Deluxe-Toilet-Plunger-with-16-in-Ergonomic-Plastic-Handle-1-Each/5964174776?classType=REGULAR&amp;athbdg=L1102&amp;from=/search</t>
  </si>
  <si>
    <t>Plants</t>
  </si>
  <si>
    <t>https://amzn.to/3Q0O8AD</t>
  </si>
  <si>
    <t>Tray</t>
  </si>
  <si>
    <t>https://amzn.to/47TiWt5</t>
  </si>
  <si>
    <t>Coffee Mug</t>
  </si>
  <si>
    <t>https://www.walmart.com/ip/Mainstays-Glazed-White-Stoneware-12-Ounces-Mug/211142390?classType=VARIANT&amp;athbdg=L1200</t>
  </si>
  <si>
    <t>Short Cups</t>
  </si>
  <si>
    <t>https://www.walmart.com/ip/MS-CLEAR-SWIRL-SHORT-TUMBLER/5178544997?classType=VARIANT&amp;from=/search</t>
  </si>
  <si>
    <t>Tall Cups</t>
  </si>
  <si>
    <t>https://www.walmart.com/ip/MS-CLEAR-SWIRL-TUMBLER/5177426161?classType=VARIANT&amp;from=/search</t>
  </si>
  <si>
    <t>Bowls</t>
  </si>
  <si>
    <t>https://www.walmart.com/ip/Mainstays-Glazed-White-Stoneware-Round-Dinner-Bowl-6-1/212468608?classType=VARIANT&amp;athbdg=L1200&amp;from=/search</t>
  </si>
  <si>
    <t>Big Plates</t>
  </si>
  <si>
    <t>https://www.walmart.com/ip/Mainstays-Glazed-White-Round-Stoneware-Dinner-Plate-10-3/701781993?classType=VARIANT&amp;athbdg=L1102&amp;from=/search</t>
  </si>
  <si>
    <t>Small Plates</t>
  </si>
  <si>
    <t>https://www.walmart.com/ip/Mainstays-Glazed-White-Round-Stoneware-Salad-Plate-7-5/216572783?classType=VARIANT&amp;athbdg=L1600&amp;from=/search</t>
  </si>
  <si>
    <t>Wine Glasses (set of 4)</t>
  </si>
  <si>
    <t>https://www.walmart.com/ip/Mainstays-17oz-Stemless-Wine-Glass/5212541116?classType=VARIANT&amp;athbdg=L1102&amp;from=/search</t>
  </si>
  <si>
    <t>Hand Towel</t>
  </si>
  <si>
    <t>https://www.walmart.com/ip/MS-4PK-GREY-KT/777180064?classType=VARIANT&amp;athbdg=L1103&amp;from=/search</t>
  </si>
  <si>
    <t>ESS-0040</t>
  </si>
  <si>
    <t>Oven Mit</t>
  </si>
  <si>
    <t>https://www.walmart.com/ip/Mainstays-Oven-Mitt-Teal-7-x-12-5-100-Cotton-Shell-100-Polyester-Fill/13396471624</t>
  </si>
  <si>
    <t>Kitchen Cutting Board</t>
  </si>
  <si>
    <t>https://www.walmart.com/ip/Thyme-Table-4-Piece-Poly-Cutting-Mats-SM-7-5-x11-4-MD-9-8-x13-4-Cream/13755966819?classType=REGULAR&amp;athbdg=L1102&amp;adsRedirect=true</t>
  </si>
  <si>
    <t>Silverware Tray</t>
  </si>
  <si>
    <t>https://www.walmart.com/ip/Rubbermaid-Silverware-Organizer-Small-Black/109753467?classType=VARIANT&amp;athbdg=L1200&amp;from=/search</t>
  </si>
  <si>
    <t>Brand Paper Towels-24 count</t>
  </si>
  <si>
    <t>ESS-0041</t>
  </si>
  <si>
    <t>https://www.walmart.com/ip/Brawny-Tear-a-Square-3-Ply-Paper-Towels-12-Double-Rolls/12868367090?classType=VARIANT&amp;athbdg=L1103&amp;adsRedirect=true</t>
  </si>
  <si>
    <t>Mainstays Electric Kettle</t>
  </si>
  <si>
    <t>https://www.walmart.com/ip/Mainstays-1-7L-Electric-Kettle-Color-White-New-Condition-Model-MS8400778514-3/5158672824?classType=REGULAR&amp;athbdg=L1102&amp;from=/search</t>
  </si>
  <si>
    <t>Tramontina Primaware Cookware</t>
  </si>
  <si>
    <t>https://www.walmart.com/ip/Tramontina-Primaware-18-Piece-Non-stick-Cookware-Set-Steel-Gray/52636893?wmlspartner=wlpa&amp;selectedSellerId=0&amp;wl13=2515&amp;adid=2222222227752636893_117755028669_12420145346&amp;wmlspartner=wmtlabs&amp;wl0=&amp;wl1=g&amp;wl2=c&amp;wl3=501107745824&amp;wl4=pla-294505072980&amp;wl5=9060410&amp;wl6=&amp;wl7=&amp;wl8=&amp;wl9=pla&amp;wl10=8175035&amp;wl11=local&amp;wl12=52636893&amp;wl13=2515&amp;veh=sem_LIA&amp;gclid=CjwKCAiAy_CcBhBeEiwAcoMRHBnoRcBXsGLLkn1ssg0uovV_SPr1IZFj18ro8gnw4iMI3hwRuW5FvxoC_WkQAvD_BwE&amp;gclsrc=aw.ds</t>
  </si>
  <si>
    <t>Microwave</t>
  </si>
  <si>
    <t>https://www.walmart.com/ip/Mainstays-0-7-Cu-ft-Countertop-Microwave-Oven-700-Watts-Black/5101086862</t>
  </si>
  <si>
    <t>ESS-0042</t>
  </si>
  <si>
    <t>Toaster</t>
  </si>
  <si>
    <t>https://www.walmart.com/ip/Mainstays-2-Slice-Toaster-with-6-Shade-Settings-and-Removable-Crumb-Tray-Black/5151909675</t>
  </si>
  <si>
    <t>Mainstays Nonstick Baking Sheet</t>
  </si>
  <si>
    <t>https://www.walmart.com/ip/Mainstays-Large-Nonstick-17-x-11-Cookie-Sheet-Baking-Pan-Gray/3939895785?classType=VARIANT&amp;from=/search</t>
  </si>
  <si>
    <t>Broom/Dustpan</t>
  </si>
  <si>
    <t>https://www.amazon.com/Dustpan-Office-Handle-Upright-Standing/dp/B0BKQBNXGR/ref=sr_1_2_sspa?crid=29M631EFKJFCX&amp;dib=eyJ2IjoiMSJ9.Yis8wMqczA4KaeJRDxukKJbkt_pwdZAaeFqTWrAE1crl1cPOCXyuY-vi4Gn9tN_YfZM4J-F_DOb7j55fkI_CdgeHbh0kbLTM89nwptDHpaExc_AM5w-p14Ym6Xqv-umJrXpLuF09JkYKTKxoRD38fzzT-_ZMsyvzE1CN5xYZFDWd2sBVLZ3-ootk-KLUP-LRf5c2C1mFdPd2-ON4TE5hpg3O-Gy5gUpohqv_wh3EcrpOebohgc8u3r2LbC_AaEetHG4vEAYVe23H9LIbw2kdbjdlMQbpCv_IQGf2ND8aL3Y.Mv7zRSPA2ieyF6KfksQhuzOZI1DvnSIhQm9EWq6hcOc&amp;dib_tag=se&amp;keywords=broom&amp;qid=1756501869&amp;sprefix=broom%2Caps%2C106&amp;sr=8-2-spons&amp;sp_csd=d2lkZ2V0TmFtZT1zcF9hdGY&amp;th=1</t>
  </si>
  <si>
    <t>Dish/Hand Soap Dispenser</t>
  </si>
  <si>
    <t>ESS-0043</t>
  </si>
  <si>
    <t>Operating Supplies</t>
  </si>
  <si>
    <t>Dish Soap</t>
  </si>
  <si>
    <t>https://www.amazon.com/Amazon-Basics-Dish-Fresh-Scent/dp/B09B1T3ZF7/ref=sr_1_1_ffob_sspa?crid=3CRYKXX2ML9E6&amp;dib=eyJ2IjoiMSJ9.ZfDbJJcGGEKfH_kOgoPCVSkpLvxBYDBpLsDOjeISmaMbgH2LoIuV3xLlTZwLSI3to3grRRhpF6FnkI7Q-lUcirBzG8t0xm_UXqVWgq-_plsYzaMAXI8lzZE4dhSYbLwdI8frDZWkrkoDKrTXAfplCoq9a_NTNPQeFYwNKw1J4zLHTJh184_wFO_-U2Ejhrm1L3LSeJHvJ4uY_Aj93e-WvN0MiKwkZoHhSENToH4Uvvnpdt3H8-hkY5AHeflDWrOllh6DL5w1zu2jeWT1ljJ0vQa-VN1Ktpu9TTaJLnkAsUU.2_9coV7cqUqtvu4BsICt6IunMTI96MmMa0nxUY5lxao&amp;dib_tag=se&amp;keywords=dish%2Bsoap%2Bbulk&amp;qid=1756501934&amp;sprefix=dish%2Bsoap%2Bbulk%2Caps%2C130&amp;sr=8-1-spons&amp;sp_csd=d2lkZ2V0TmFtZT1zcF9hdGY&amp;th=1</t>
  </si>
  <si>
    <t>Hand Soap</t>
  </si>
  <si>
    <t>Operating supply</t>
  </si>
  <si>
    <t>https://www.amazon.com/Amazon-Brand-Solimo-Original-Liquid/dp/B089WRB791/ref=sr_1_1_ffob_sspa?crid=2SQTH3EZIE0I6&amp;dib=eyJ2IjoiMSJ9.IfOu4jom6QnGSg57HnvbPtmxTV6apLtDfwxj5NXIVwymtNQ_ObGfVsc6w_k843aaw2L0zIZU2-eowiUFf6K7huKQcQ8OC241ib_LKvE57hAvsh2LdgNjyG8Wy3xBMsZVNdmnlKLkxWSWYNazNFyHn97rzVF9o-t9Lv-kj2g-SqcawCT7XurUhOA2Y6H9RbmqNe9s5seZHbdLqHzMEqhUeEPv93OvbeEKweflkPej5Nyr00OKprWnBTbL6s8SSjcjSI3oUXiz06sLTtSrLNgIU9QQXZFaKNiE_wmIAxS8ulE.T1wjOIeDWYtvHxDgOmak5SwYEv4r6EUmtGr8SUym1HE&amp;dib_tag=se&amp;keywords=hand%2Bsoap%2Bbulk&amp;qid=1756501978&amp;rdc=1&amp;sprefix=hand%2Bsoap%2Bbulk%2Caps%2C124&amp;sr=8-1-spons&amp;sp_csd=d2lkZ2V0TmFtZT1zcF9hdGY&amp;th=1</t>
  </si>
  <si>
    <t>Keurig Coffee Maker</t>
  </si>
  <si>
    <t>Keurig K-Slim Single Serve K-Cup Pod Coffee Maker, Multistream Technology, 3 Brew Sizes, Slim and Sleek Design, 46oz Removable Reservoir, Black</t>
  </si>
  <si>
    <t>ESS-0044</t>
  </si>
  <si>
    <t>Kcup Holder</t>
  </si>
  <si>
    <t>https://www.amazon.com/KIMIUP-Compatible-Detachable-Countertop-360-Degrees/dp/B0916RQVTX/ref=sr_1_5?crid=2I54Q7V313ULA&amp;dib=eyJ2IjoiMSJ9.d20_2snxBDbZprHCN4NmX_HYKdp8NYoE9BMRCAOLcJCY9XKqkNlqTG5YWWLOfI0yFDiKGHjGVpOUC-DYcDZPL6YGFKoccXT3zZNBnzFP1yzd7VUnG2ftIJlnQSJk1GTA9I1u1Gikef1sJZxp9skG559GCRSCquoHxyi6MsKGcj8vAdRUzS_W_2CRSH-hgCZ0X-q5-82JGseHtwHYyk_HK3VOAPMRxE_eE6CvN95HyYYRBAXW1RliUqVrnnD0MIszbGLRAV79QZis9yprT724Y47nh_jXeT502XgjOn2CaM4.X2x-QT1SaFdtUkGTyGGl6ECdjvmlWX6P34EpwBjYAMw&amp;dib_tag=se&amp;keywords=k%2Bcup%2Bholder&amp;qid=1756502095&amp;s=home-garden&amp;sprefix=k%2Bcup%2Bholder%2Cgarden%2C169&amp;sr=1-5&amp;th=1</t>
  </si>
  <si>
    <t>Coffee Kcups</t>
  </si>
  <si>
    <t>https://www.amazon.com/Keurig-compatible-capsulse-Variety-Pack/dp/B07G2QQNF4</t>
  </si>
  <si>
    <t>Coffee Creamer</t>
  </si>
  <si>
    <t>https://www.amazon.com/COFFEE-MATE-Coffee-Creamer-Original-creamer/dp/B00451SGZ6/ref=sr_1_8?dib=eyJ2IjoiMSJ9.Htndc46UnAoKzB1oYVje660sdGpodJ6VWrK0j2soumhJzRa6zcbTd4oSh459VfcZyLCLJZb4DaNP9D0ZK8LSeUKEILGm4b599cQ2Ade_E4hr2zRS3iEyS5gEALWoLME-cnhQtkbxv1BACMxrv1KCO1P1Jigb1mf-1tX9ujD0zK2cTEKJMq7ujgbWVxxsefu6IJ5-E22cxQSCn2eqQJqHsmx_X87rGMxc7LBo158RhXFWNNyRTTDOnR32InAULRYMsDoBmBMT_I8ZUtnIgwxIQCCddx1bTyDAJMRzL1-Erjw.HmuR3AChFaBPJ6wZSM_GXuVLH1_VcS0iFDo44sEdNjc&amp;dib_tag=se&amp;keywords=creamer%2Bbulk&amp;qid=1756502158&amp;sr=8-8&amp;th=1</t>
  </si>
  <si>
    <t>Splenda Sugar Box (100ct)</t>
  </si>
  <si>
    <t>ESS-0045</t>
  </si>
  <si>
    <t>https://www.amazon.com/SPLENDA-Calorie-Sweetener-Packets-Count/dp/B0010XVRXK/ref=sr_1_8?keywords=splenda&amp;qid=1670695010&amp;sr=8-8</t>
  </si>
  <si>
    <t>Knife Set</t>
  </si>
  <si>
    <t>Recurring replenishment</t>
  </si>
  <si>
    <t>https://www.amazon.com/Stainless-Serrated-Kitchen-High-Carbon-Stone/dp/B07HY383VZ/ref=sxin_17_b2b_sx_pricing_discovery_desktop?content-id=amzn1.sym.7ae81320-ef1d-4f7b-92dc-32a1c1aab91b%3Aamzn1.sym.7ae81320-ef1d-4f7b-92dc-32a1c1aab91b&amp;crid=NZDWWPG7JULU&amp;cv_ct_cx=knife%2Bset&amp;keywords=knife%2Bset&amp;pd_rd_i=B07HY383VZ&amp;pd_rd_r=2de1ca11-6f0e-4033-a4c8-c85a5381fda4&amp;pd_rd_w=3EfFM&amp;pd_rd_wg=2s9UP&amp;pf_rd_p=7ae81320-ef1d-4f7b-92dc-32a1c1aab91b&amp;pf_rd_r=ZHVTP1072E29DNMCAVPH&amp;qid=1670691807&amp;sprefix=knife%2Bset%2Caps%2C111&amp;sr=1-2-f7511434-afcb-4b52-ae93-76e9cb75dd6b&amp;th=1</t>
  </si>
  <si>
    <t>ESS-0046</t>
  </si>
  <si>
    <t>20 Piece Silverware</t>
  </si>
  <si>
    <t>https://www.amazon.com/Silverware-Stainless-Flatware-Tableware-Dishwasher/dp/B09X7BJPD8/ref=sr_1_2_sspa?crid=3I6YTP3S8JHX4&amp;keywords=silverware&amp;qid=1670691893&amp;s=home-garden&amp;sprefix=silverware%2Cgarden%2C110&amp;sr=1-2-spons&amp;psc=1&amp;spLa=ZW5jcnlwdGVkUXVhbGlmaWVyPUExT0gyVEYwTUVRVFJKJmVuY3J5cHRlZElkPUEwMDUzMzE1M0FWVUIzQUVGMjAwTyZlbmNyeXB0ZWRBZElkPUEwNzE2MjA0MVRUWDhWUU9NWDI0SyZ3aWRnZXROYW1lPXNwX2F0ZiZhY3Rpb249Y2xpY2tSZWRpcmVjdCZkb05vdExvZ0NsaWNrPXRydWU=</t>
  </si>
  <si>
    <t>Tea Bags</t>
  </si>
  <si>
    <t>https://www.amazon.com/Twinings-Sampler-Assortment-Variety-Flavors/dp/B0DYL5LSZH/ref=sr_1_1_sspa?crid=31HTET7A96WJT&amp;dib=eyJ2IjoiMSJ9.zaq-XUwkQi6RrXESDHpVGZM7TrdBNfm5XMb_kYYWG830DFT_QziLQVcWFxLrZPqpIiOIpYGe-b2Vjy4UV3ZKbdujLRFeupsAPukUk4t8rLqw3HgohLExYUhUlq7C_4AYfPvNhDxxD1p5xYIAqYc5n6mA9BP5bHNmAOnrOU4fxrrjBGGHHplATd9dfWhznWeUameCro6cU7F31C3ZvuT4GwwB5ps7IJn9MQvm_VfnE94N5_P4kVG6StEqzjcebi_vMjg1Ao807eAGu1UoHzGabEylsqHjppWDdUiCoCuZSUw.2KZ2bC0DhttqLvPPiJ9k6vSVuWXdjABDs_wOqm6dh0w&amp;dib_tag=se&amp;keywords=tea%2Bbag%2Bbulk&amp;qid=1756502251&amp;s=home-garden&amp;sprefix=tea%2Bbag%2Bbulk%2Cgarden%2C118&amp;sr=1-1-spons&amp;sp_csd=d2lkZ2V0TmFtZT1zcF9hdGY&amp;th=1</t>
  </si>
  <si>
    <t>Vacuum</t>
  </si>
  <si>
    <t>ESS-0047</t>
  </si>
  <si>
    <t>https://www.amazon.com/BISSELL-Featherweight-Lightweight-Bagless-2033M/dp/B081HQFJWZ/ref=sr_1_6?crid=32BMRXRZT4SPV&amp;dib=eyJ2IjoiMSJ9.pzjUE0918DPzmSvA_qeC5_i-QqeAskBNOc7pt2k8OKS7uc5LYVaTqXENTyBD3PY1_XO-oeo0GPBISOLYJ29onInCMw_6mwF1FyrIJb7FDIr1EDwvkTngf4LLq8pJJYaihTqs1eIs4ishYzsYXqKvQNz5f0vCEvLdBTItmkBxtGKhwasNWq6MQuxg2rNITOX45cWdwCpeYI5E8922WJx8ei5AXH3PozUW2fERW3C_6PdXe-kU8OYRqkrF3YLJhvPnAfo-mGxzQ6XacU-U6LrYVZ7WuC8BZGXRpLICj3SkEJ8.kvBkzK-LwiPIf331k1EDbKjbU5l1oIWOCGQg6XSzpv8&amp;dib_tag=se&amp;keywords=vacuum&amp;qid=1756502339&amp;s=home-garden&amp;sprefix=vaccum%2Cgarden%2C106&amp;sr=1-6&amp;th=1</t>
  </si>
  <si>
    <t>Swiffer Sweeper</t>
  </si>
  <si>
    <t>https://www.amazon.com/Swiffer-Sweeper-Dry-Sweeping-Count/dp/B095XD324N/ref=sr_1_7?keywords=swiffer+sweeper&amp;qid=1671225210&amp;sr=8-7</t>
  </si>
  <si>
    <t>Paper Towel Holder</t>
  </si>
  <si>
    <t>https://www.amazon.com/Countertop-OBODING-Kitchen-Organization-Standard/dp/B092MBCTDF/ref=sr_1_6?crid=667G3OZ608H9&amp;dib=eyJ2IjoiMSJ9.zxXCs_9O8lG65dpwKG1Gg5biWru_0XlZHOuLnc0vjpxZwbHCMlgA54OtBPlEVf_KjWQHQb4MUKh5toS92vi5394eoL1HYr-AaQU6B0oErxNbrKRUFa99_wrJvxwSoSg11hJevb5t_G9nFiT81zq-Vrk8AWQZ48xBoEnFH9IbR_SWzBtlcl5cedVselk9qvhsxLIVFFrdQPWZ58733evKv-2T4xxGzicEBqKU_vv46eHE3k4xJja5Pbew3D95sUi4B8s3xxvG2zu8fRZW5LFEywUZ53MvBG7i2pFD4szRAwc.AcKlXnIV53cgQdC529wXDErRI6bZBlgCHol8Pn9L7gk&amp;dib_tag=se&amp;keywords=paper%2Btowels%2Bholder&amp;qid=1756502397&amp;s=home-garden&amp;sprefix=paper%2Btowels%2Bholder%2Cgarden%2C106&amp;sr=1-6&amp;th=1</t>
  </si>
  <si>
    <t>ESS-0048</t>
  </si>
  <si>
    <t>Kitchen Cleaning Sponge Pack</t>
  </si>
  <si>
    <t>https://www.amazon.com/Kitchen-Cleaning-Sponges-Non-Scratch-Scrub/dp/B0746H3KB2/ref=sxts_b2b_sx_reorder_acb_customer?content-id=amzn1.sym.44ecadb3-1930-4ae5-8e7f-c0670e7d86ce%3Aamzn1.sym.44ecadb3-1930-4ae5-8e7f-c0670e7d86ce&amp;crid=DUTK4VGML8K6&amp;cv_ct_cx=kitchen+cleaning+sponge+pack&amp;keywords=kitchen+cleaning+sponge+pack&amp;pd_rd_i=B0746H3KB2&amp;pd_rd_r=cd7d80b3-3760-4567-878f-76a3eac50c9f&amp;pd_rd_w=Qu4ri&amp;pd_rd_wg=hy909&amp;pf_rd_p=44ecadb3-1930-4ae5-8e7f-c0670e7d86ce&amp;pf_rd_r=H1FTF1DXY94WYBBD5KNC&amp;qid=1671225294&amp;sprefix=kitchen+cleaning+sponge+pack%2Caps%2C150&amp;sr=1-1-62d64017-76a9-4f2a-8002-d7ec97456eea</t>
  </si>
  <si>
    <t>https://www.walmart.com/ip/WM-OVZME-Waffle-Textured-Shower-Curtain-Sage-Green-36x72/16797559260?classType=VARIANT&amp;athbdg=L1900&amp;adsRedirect=true</t>
  </si>
  <si>
    <t>Kitchen Mat</t>
  </si>
  <si>
    <t>https://www.amazon.com/Art3d-Anti-Fatigue-Mat-Cushioned/dp/B0B1J3ZWLY/ref=sr_1_4_sspa?dib=eyJ2IjoiMSJ9.IjJpPS2vHkjh1awCWVF2GeWav5itheCLOrMS7xL9x26Z7o8LWK-xQjrXymB2OhTFPpzjuaiEA_UhT9h8JqIjpyqNZHCHhbC3yHiiz7pielbYFtcI01p6igrpipQUOrNzciBQQgmbI1s6wPZkBWJFGbSs-0sOjqF_MdVzWe_GIwl7IYPBCei-Z2U9EYLuzePPx6kAyBcYrroOSz-6oGxQXE6C-srnIiI21xH_zz9bKjT73r8hn4cmCJMdg_4E6o2OhMtb26iPymvIz_Dc1l5Ov-pSC0KgjwEKb8TNKtVi6Gk.fAzPc08J65FFKP20dRq-70ggivtlNCfQnFokA8ez5wA&amp;dib_tag=se&amp;keywords=kitchen%2Bmat&amp;qid=1756502451&amp;sr=8-4-spons&amp;sp_csd=d2lkZ2V0TmFtZT1zcF9hdGY&amp;th=1</t>
  </si>
  <si>
    <t>Salt and Pepper</t>
  </si>
  <si>
    <t>https://www.amazon.com/Salt-Pepper-Grinder-Set-Adjustable/dp/B08GC3L3LL/ref=sr_1_15?crid=3B1KU3148FBOM&amp;keywords=salt+and+pepper+grinder+set&amp;qid=1670692238&amp;refinements=p_36%3A1253523011&amp;rnid=386465011&amp;s=home-garden&amp;sprefix=salt+and+p%2Cgarden%2C115&amp;sr=1-15</t>
  </si>
  <si>
    <t>Trash Bags</t>
  </si>
  <si>
    <t>https://www.costco.com/kirkland-signature-flex-tech-13-gallon-scented-kitchen-trash-bags-200-count.product.100520272.html</t>
  </si>
  <si>
    <t>Oven Mitts</t>
  </si>
  <si>
    <t>https://www.walmart.com/ip/KFFKFF-Heat-Resistant-Oven-Mitts-Silicone-Grip-Cotton-Baking-Gloves-Temperatures-500-13-07-x-6-1-inch-Includes-2-Hooks-Kitchen-Use-Set-2/18148372887?classType=REGULAR&amp;from=/search</t>
  </si>
  <si>
    <t>Can Opener</t>
  </si>
  <si>
    <t>https://www.walmart.com/ip/Mainstays-2-Ply-Manual-Can-Opener-with-Integrated-Bottle-Opener-Black/3420835246?classType=VARIANT&amp;athbdg=L1200&amp;from=/search</t>
  </si>
  <si>
    <t>Wine Opener</t>
  </si>
  <si>
    <t>ESS-0049</t>
  </si>
  <si>
    <t>https://www.walmart.com/ip/Winged-Corkscrew-with-Bottle-Opener/5547086336?classType=VARIANT&amp;athbdg=L1200&amp;from=/search</t>
  </si>
  <si>
    <t>Measuring Cups</t>
  </si>
  <si>
    <t>https://www.walmart.com/ip/Farberware-Professional-10-Piece-Plastic-Nesting-Measuring-Cup-and-Spoon-Set-Black/20469614?classType=REGULAR&amp;athbdg=L1600&amp;from=/search</t>
  </si>
  <si>
    <t>Grater</t>
  </si>
  <si>
    <t>https://www.walmart.com/ip/WNFJR-Stainless-Steel-Handheld-Cheese-Grater-Handle-Multipurpose-Rust-Proof-Tool-Grating-Cheese-Chocolate-Spices-Including-Lemon-Peel/5771172730?classType=VARIANT&amp;from=/search</t>
  </si>
  <si>
    <t>Peeler</t>
  </si>
  <si>
    <t>https://www.walmart.com/ip/Mainstays-6in-Stainless-Steel-Fruit-and-Vegetable-Peeler-Black/5176278969?classType=VARIANT&amp;athbdg=L1200&amp;from=/search</t>
  </si>
  <si>
    <t>ESS-0050</t>
  </si>
  <si>
    <t>Bath Mats 1pk</t>
  </si>
  <si>
    <t>Tongs</t>
  </si>
  <si>
    <t>https://www.walmart.com/ip/Mainstays-12-Stainless-Steel-Locking-Cooking-Tongs-Silver/13012755138?classType=REGULAR&amp;athbdg=L1200&amp;from=/search</t>
  </si>
  <si>
    <t>Ice cream scoop</t>
  </si>
  <si>
    <t>https://www.walmart.com/ip/Professional-Ice-Cream-Scoop-Spring-Handle-Heavy-Duty-Stainless-Steel-Scooper-Hard-Gelato-Sorbet-Frozen-Yogurt-Restaurant-Grade-18-8-Metal-7-3/16666117292?classType=REGULAR&amp;from=/search</t>
  </si>
  <si>
    <t>https://www.amazon.com/Yimobra-Comfortable-Absorption-Non-Slip-Bathroom/dp/B07VX6GH88/ref=sr_1_4_sspa?dib=eyJ2IjoiMSJ9.cbfGz45SCWag2g7EK9flIbDIdEL2EeABFsEkHHdubFVtOB6B-5vZ0EWdTjJyH5sgERwke26lprtIFAt18xhPNiynQXpRZpqISeXURi4NYTvj3h_C16KTnoX7JFhFcCoujGDwGqS62v9xq6Cy3t5Ezv01lGs0BBJdb3A-Avh8AXhOTkYdY9fKV2TC1PcOQu4ycqHYVRLQ9RgQ4jESOhhlcMa1NfTaLqRkTeFkucZ0_YXRBGK52C78ol4RXRpIYH3Qvj9OgUbvO-t08WhkrmHgNVHR0qAv-Inq2BIB9IqkOjs.q7vrT8Wyn3kI7nukishFTQJg_W1WU83yS_KUnVJJUa8&amp;dib_tag=se&amp;keywords=quick%2Bdry%2Bbath%2Brug&amp;qid=1787198418&amp;sr=8-4-spons&amp;sp_csd=d2lkZ2V0TmFtZT1zcF9hdGY&amp;th=1</t>
  </si>
  <si>
    <t>Pizza Slicer</t>
  </si>
  <si>
    <t>https://www.walmart.com/ip/Mainstays-3in-Ergonomic-Lightweight-Wheel-Stainless-Steel-Pizza-Cutter-Black/5171891175?classType=REGULAR&amp;athbdg=L1200&amp;from=/search</t>
  </si>
  <si>
    <t>Cooking Utensils</t>
  </si>
  <si>
    <t>https://www.amazon.com/dp/B0823FQKH6?linkCode=spc&amp;tag=onamznew08e1-20&amp;creativeASIN=B0823FQKH6&amp;asc_item-id=amzn1.ideas.2SYX5W41P9FKP&amp;th=1</t>
  </si>
  <si>
    <t>https://amzn.to/4t4H8RS</t>
  </si>
  <si>
    <t>Strainer</t>
  </si>
  <si>
    <t>https://www.walmart.com/ip/ZOURIH-1Pack-Large-Kitchen-Strainer-Colander-Bowl-Set-Double-Layer-Plastic-Fruits-Vegetable-Washing-Basket-Drain-Bowls-Cleaning-Washing-Mixing-Detach/18457907504</t>
  </si>
  <si>
    <t>Waffle Maker</t>
  </si>
  <si>
    <t>https://www.walmart.com/ip/Open-Box-Chefman-Anti-Overflow-Belgian-Waffle-Maker-w-Shade-Selector-Non-Stick-Plates-Black-New/19536806249?conditionGroupCode=3&amp;classType=REGULAR&amp;from=/search</t>
  </si>
  <si>
    <t>Utensil Holder</t>
  </si>
  <si>
    <t>Garbage Can</t>
  </si>
  <si>
    <t>https://www.walmart.com/ip/Hefty-12-1-Gallon-Trash-Can-Plastic-Step-On-Kitchen-Trash-Can-Black/21909732</t>
  </si>
  <si>
    <t>Garbage Bags</t>
  </si>
  <si>
    <t>https://amzn.to/3Q2aaTx</t>
  </si>
  <si>
    <t>Miscellaneous</t>
  </si>
  <si>
    <t>Batteries</t>
  </si>
  <si>
    <t>https://amzn.to/4cg9eT4</t>
  </si>
  <si>
    <t>Lightbulbs</t>
  </si>
  <si>
    <t>https://amzn.to/4sY4JU5</t>
  </si>
  <si>
    <t>Tool Set</t>
  </si>
  <si>
    <t>https://www.amazon.com/gp/product/B00RF9J8DY?ie=UTF8&amp;th=1&amp;linkCode=sl1&amp;tag=new08e1-20&amp;linkId=8aaf1955fdec03cf4b37594b1018bcc9&amp;language=en_US&amp;ref_=as_li_ss_tl&amp;ascsubtag=srctok-66207953bff52b74&amp;btn_ref=srctok-66207953bff52b74</t>
  </si>
  <si>
    <t>Borrow Box</t>
  </si>
  <si>
    <t>https://www.amazon.com/Farmoon-Plastic-Basket-Storage-Baskets/dp/B08D7D1JLR/ref=sr_1_56?ascsubtag=srctok-39a8dad341c20f47&amp;btn_ref=srctok-39a8dad341c20f47&amp;dib=eyJ2IjoiMSJ9.qLoLXSjzVRMc9VOPOkTlA_O8pvBl8X4qPndoY0Pljp6IToYLmxBy5SBpqS7rEY74UjDFT-hGXwnI2fh7YTopt2MQtyC6k6xt97ddqKWHiYpFOY8V6vWx_kJcQH_MMWzwzuMFvoEj5RhOTzuIT0G7g5QUaYn48iNcql6ezZhL_G7DB5kES_UhDBiLu0MIMtI1kSzDUO2kHIuVvyeSqe1bGVYSHf3PSxq-xrFCe5EgN1Oz2U4sHMfc3wfoWQgNL1WK-5NswvpieNeouMZXCq6s-j1RLYdU9zL9A5EXaxckjfo.BuXInk5dtl0oBMuQW9RmcUwYGeRbsLzdyw_ryf1vkdE&amp;dib_tag=se&amp;keywords=plastic%2Bweave%2Bbin&amp;linkCode=sl2&amp;linkId=8ec30750ad06b397ca20b97d6ee48e6a&amp;qid=1775790686&amp;sr=8-56&amp;th=1</t>
  </si>
  <si>
    <t>Scissors</t>
  </si>
  <si>
    <t>https://www.walmart.com/ip/Pen-Gear-New-8-Inch-All-Purpose-Stainless-Steel-Scissors-Back-to-School-Black/2754323560?classType=VARIANT&amp;athbdg=L1200&amp;from=/search</t>
  </si>
  <si>
    <t>ESS-0051</t>
  </si>
  <si>
    <t>Flashlight</t>
  </si>
  <si>
    <t>https://www.walmart.com/ip/Ozark-Trail-500-Lumen-3AAA-LED-Flashlight/18121018841?classType=REGULAR&amp;athbdg=L1600&amp;from=/search</t>
  </si>
  <si>
    <t>https://www.amazon.com/TLIEAO-Mini-First-Aid-Kit/dp/B0FSQ6NDQJ/ref=sr_1_6?dib=eyJ2IjoiMSJ9.zHOMVen-ijCqKcw7bRatKYzn9OKvmzCdUDy9kAmXdf9DoS6jMK8e_bIz3WUqOIGRSqbKpWjXHeJRZ3hEUw6Bw0sGMmGA17wrBtXXQTmnx1GIZdYC-Tp9LZzY1zXjofNuPvd360qg3pE3a_iCUemw7mena_Gy215JvB2pzkU7m3LKGW5fHfoSINxfHsw7A5d2ZEvDW3Q2dnkmYaHhbPi7UhP3LvXUY8dxB5q0mxcNOWkmdXn7bxiqD4ivt_KmgV54hXvS2qQTRPXBsPC38FZu7-MKd_G8kroiFHBQ9VVZ_4o.AYBrnPlRTdG0Sjn_T9Og9sTHIPvcSNyeBhxon_eSFAg&amp;dib_tag=se&amp;keywords=first%2Baid%2Bkit&amp;qid=1787198237&amp;sr=8-6&amp;th=1</t>
  </si>
  <si>
    <t>ESS-0052</t>
  </si>
  <si>
    <t>ESS-0053</t>
  </si>
  <si>
    <t>ESS-0054</t>
  </si>
  <si>
    <t>ESS-0055</t>
  </si>
  <si>
    <t>ESS-0056</t>
  </si>
  <si>
    <t>ESS-0057</t>
  </si>
  <si>
    <t>Kitchen &amp; Dining</t>
  </si>
  <si>
    <t>ESS-0058</t>
  </si>
  <si>
    <t>ESS-0059</t>
  </si>
  <si>
    <t>ESS-0060</t>
  </si>
  <si>
    <t>ESS-0061</t>
  </si>
  <si>
    <t>ESS-0062</t>
  </si>
  <si>
    <t>ESS-0063</t>
  </si>
  <si>
    <t>ESS-0064</t>
  </si>
  <si>
    <t>ESS-0065</t>
  </si>
  <si>
    <t>ESS-0066</t>
  </si>
  <si>
    <t>ESS-0067</t>
  </si>
  <si>
    <t>ESS-0068</t>
  </si>
  <si>
    <t>ESS-0069</t>
  </si>
  <si>
    <t>https://www.walmart.com/ip/PANCERKA-Chic-Rapid-Boil-Kettle-1-8L-Cordless-Water-Warmer-White/14111214095?athAsset=eyJhdGhjcGlkIjoiMTQxMTEyMTQwOTUiLCJhdGhzdGlkIjoiQ1M0NzgiLCJhdGhwb3NiIjoiLTEiLCJhdGhhbmNpZCI6IjUxNTg2NzI4MjQiLCJhdGhyayI6MC4wfQ==&amp;athena=true&amp;ssp=AMCF</t>
  </si>
  <si>
    <t>ESS-0070</t>
  </si>
  <si>
    <t>ESS-0071</t>
  </si>
  <si>
    <t>ESS-0072</t>
  </si>
  <si>
    <t>https://www.amazon.com/Electric-Removable-Countertop-Toasting-TP2210B/dp/B0B4Y2H138/ref=sxin_16_pa_sp_search_thematic_sspa?content-id=amzn1.sym.8eb671a2-a903-4c3a-b962-ebb867a4f8f8%3Aamzn1.sym.8eb671a2-a903-4c3a-b962-ebb867a4f8f8&amp;crid=1FEHNGMQ2ST93&amp;cv_ct_cx=toaster&amp;keywords=toaster&amp;pd_rd_i=B0B4Y2H138&amp;pd_rd_r=7fc3504b-2245-426d-a576-50ea5611b7e8&amp;pd_rd_w=vHprh&amp;pd_rd_wg=vcjI1&amp;pf_rd_p=8eb671a2-a903-4c3a-b962-ebb867a4f8f8&amp;pf_rd_r=F0HK696AH6PT5FHV99YB&amp;qid=1787197528&amp;s=home-garden&amp;sbo=RZvfv%2F%2FHxDF%2BO5021pAnSA%3D%3D&amp;sprefix=toaster%2Cgarden%2C157&amp;sr=1-2-6024b2a3-78e4-4fed-8fed-e1613be3bcce-spons&amp;aref=g2zSPIy1Bp&amp;sp_csd=d2lkZ2V0TmFtZT1zcF9zZWFyY2hfdGhlbWF0aWM&amp;th=1</t>
  </si>
  <si>
    <t>ESS-0073</t>
  </si>
  <si>
    <t>ESS-0074</t>
  </si>
  <si>
    <t>ESS-0075</t>
  </si>
  <si>
    <t>ESS-0076</t>
  </si>
  <si>
    <t>ESS-0077</t>
  </si>
  <si>
    <t>ESS-0078</t>
  </si>
  <si>
    <t>https://www.amazon.com/Keurig-K-Compact-Single-Serve-K-Cup-Coffee/dp/B0BV9HKMNT/ref=sr_1_10?crid=1OV1Y6EO27NP1&amp;dib=eyJ2IjoiMSJ9.y6bnNURbqTd8hK7lrq7nCh5fB2aZXpqYfCjBWaAqU1Q97jENAdR70-AqyqEZMnhaMmo7EpMaRETftlrUv2ToOKXRqARc3lHIfM5XJfyrbN8WsT6mlKrz4UQJ1tkDWCSK3fjIo1yjCeqeTQFVNhHHc7U26LvhO5UkRaoT-xo77FGtgECRstVfNC4Xd0OcDc6tqT2JTJeKTdXi3J4h89p_pw1qMIKk5eoOcO3nGKW1Fh8qNZgQa0KpJc5Ee_afQpBS94WH1Y9XL1_JwqjjkXjqqXBxpCPwNKUrJ9qNNOqtQYg.k_8md-0WjmXua5sfjyBngc9y1mg-KCh2JRs6b3iCQ0Y&amp;dib_tag=se&amp;keywords=keurig%2Bsingle%2Bcup%2Bcoffee%2Bmaker&amp;qid=1787197194&amp;s=home-garden&amp;sprefix=keurig%2Bcoffee%2Bmaker%2Bsingle%2Cgarden%2C156&amp;sr=1-10&amp;th=1</t>
  </si>
  <si>
    <t>ESS-0079</t>
  </si>
  <si>
    <t>ESS-0080</t>
  </si>
  <si>
    <t>ESS-0081</t>
  </si>
  <si>
    <t>ESS-0082</t>
  </si>
  <si>
    <t>ESS-0083</t>
  </si>
  <si>
    <t>ESS-0084</t>
  </si>
  <si>
    <t>ESS-0085</t>
  </si>
  <si>
    <t>ESS-0086</t>
  </si>
  <si>
    <t>ESS-0087</t>
  </si>
  <si>
    <t>https://www.amazon.com/Swiffer-PowerMop-Multi-Surface-Cleaning-Batteries/dp/B0C1DWC251/ref=sr_1_10?crid=AE8VOXI199OB&amp;dib=eyJ2IjoiMSJ9.KLLyUfPi5PLc3ZmqG7ZicqPMGMKANovz958GyPyhwL__HUVeroNlw7oHu9kTL93HM4IbflbbQemgvHvy-ZGqNCuD-XmbVfFvwUT9AjrcL7hleoFzD5lOK1G9YJZYl1fhNJRuyER_r0-bNZH8HaqfY6M1hSRSlDzqgqCIIDO9tN7nzCdGq3ZeLsBvfuesQFG3BmFLgBjVepyu-Pkwcob4Ny8ckvCrFbuyRwZWjNp2Ae86hDDS-j7QdIXY-D2Id5_oySBT___4erflY1zYRRCFIYTiplgwKEM6tf-Y_428zq0.iKpKPsdmtKzH6AiUL1giyS5n9wLHfWzQbVXfxl3oUTU&amp;dib_tag=se&amp;keywords=Swiffer%2BSweep%2B%2B%2BMop%2BXL%2C%2BBroom%2B%26%2BMop%2BAlternative%2C%2BFloor%2BCleaner%2Bfor%2BDirt%2C%2BDust%2C%2BHair%2C%2BAll%2BPurpose%2BCleaning%2BTool%2Bfor%2BHome%2C%2BBathroom%2C%2BKitchen%2C%2BSet%2BIncludes%2B1%2BXL%2BSweeper%2B8%2BXL%2BDry%2BPads%2B2%2BXL%2BWet%2BPads%2BFresh&amp;nsdOptOutParam=true&amp;qid=1787196643&amp;sprefix=swiffer%2Bsweep%2B%2B%2Bmop%2Bxl%2C%2Bbroom%2B%26%2Bmop%2Balternative%2C%2Bfloor%2Bcleaner%2Bfor%2Bdirt%2C%2Bdust%2C%2Bhair%2C%2Ball%2Bpurpose%2Bcleaning%2Btool%2Bfor%2Bhome%2C%2Bbathroom%2C%2Bkitchen%2C%2Bset%2Bincludes%2B1%2Bxl%2Bsweeper%2B8%2Bxl%2Bdry%2Bpads%2B2%2Bxl%2Bwet%2Bpads%2Bfresh%2Caps%2C181&amp;sr=8-10&amp;th=1</t>
  </si>
  <si>
    <t>ESS-0088</t>
  </si>
  <si>
    <t>ESS-0089</t>
  </si>
  <si>
    <t>ESS-0090</t>
  </si>
  <si>
    <t>ESS-0091</t>
  </si>
  <si>
    <t>ESS-0092</t>
  </si>
  <si>
    <t>ESS-0093</t>
  </si>
  <si>
    <t>ESS-0094</t>
  </si>
  <si>
    <t>ESS-0095</t>
  </si>
  <si>
    <t>https://www.walmart.com/ip/Thyme-Table-Wing-Corkscrew-for-All-Corks/5203677632?classType=REGULAR&amp;from=/search</t>
  </si>
  <si>
    <t>ESS-0096</t>
  </si>
  <si>
    <t>ESS-0097</t>
  </si>
  <si>
    <t>ESS-0098</t>
  </si>
  <si>
    <t>ESS-0099</t>
  </si>
  <si>
    <t>ESS-0100</t>
  </si>
  <si>
    <t>ESS-0101</t>
  </si>
  <si>
    <t>ESS-0102</t>
  </si>
  <si>
    <t>ESS-0103</t>
  </si>
  <si>
    <t>ESS-0104</t>
  </si>
  <si>
    <t>ESS-0105</t>
  </si>
  <si>
    <t>ESS-0106</t>
  </si>
  <si>
    <t>https://www.amazon.com/dp/B0F674MB7K/?coliid=IFR88Q91XAFDF&amp;colid=1RYZ0J81FZ71T&amp;ref_=list_c_wl_lv_ov_lig_dp_it&amp;th=1</t>
  </si>
  <si>
    <t>ESS-0107</t>
  </si>
  <si>
    <t>Target</t>
  </si>
  <si>
    <t>https://www.amazon.com/KdbK-Fingerprint-Stainless-Kitchen-Removable/dp/B0D17SK39X/ref=sr_1_17?crid=32RH332YG07K6&amp;dib=eyJ2IjoiMSJ9.zjzLiKLTs6FDFXeR8zamzfdSkwdfOzC8PXAQrm-DSC_Wb5YGJJZBGojuqq7wLVLTaorEng_ReWZoqUTRlyeLV9eInk1orrSVuW4K3zm6yga2BmGjOdbhD8_9zni-44Jkf5_xAaqPyChDDmKmkxuQcDfCantyx534vDnUa-vWLHX-3OISZtx_aOxBKrDxc-r3fNvI2vUdIqcqiQ7Beezm7cz-BBgjQ7dXAPi00_vuWkUK8WXCCDEk8QpFsLq0GfIjG_6YsOHfcx14DVRnf2-b7QgLbM__Zx8qhqJ-gL5Lvi0.2PZoNMdSRY6C_kJt2htYgtinLo1LhNxLxmjWOmfkU00&amp;dib_tag=se&amp;keywords=kitchen%2Btrash%2Bcan&amp;qid=1787666032&amp;sprefix=kitchen%2Btrash%2Bcan%2Caps%2C198&amp;sr=8-17&amp;th=1</t>
  </si>
  <si>
    <t>ESS-0109</t>
  </si>
  <si>
    <t>ESS-0110</t>
  </si>
  <si>
    <t>ESS-0111</t>
  </si>
  <si>
    <t>ESS-0112</t>
  </si>
  <si>
    <t>ESS-0113</t>
  </si>
  <si>
    <t>ESS-0114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</si>
</sst>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$#,##0.00"/>
    <numFmt numFmtId="165" formatCode="$#,##0"/>
    <numFmt numFmtId="166" formatCode="yyyy-mm-dd"/>
    <numFmt numFmtId="167" formatCode="&quot;$&quot;#,##0.00"/>
  </numFmts>
  <fonts count="12">
    <font>
      <sz val="11.0"/>
      <color rgb="FF000000"/>
      <name val="Carlito"/>
      <scheme val="minor"/>
    </font>
    <font>
      <b/>
      <sz val="18.0"/>
      <color rgb="FFFFFFFF"/>
      <name val="Carlito"/>
    </font>
    <font>
      <i/>
      <sz val="11.0"/>
      <color rgb="FF6B746E"/>
      <name val="Carlito"/>
    </font>
    <font>
      <b/>
      <sz val="11.0"/>
      <color rgb="FF20322B"/>
      <name val="Carlito"/>
    </font>
    <font>
      <b/>
      <sz val="11.0"/>
      <color rgb="FFFFFFFF"/>
      <name val="Carlito"/>
    </font>
    <font>
      <b/>
      <sz val="11.0"/>
      <color rgb="FF252A27"/>
      <name val="Carlito"/>
    </font>
    <font>
      <sz val="10.0"/>
      <color rgb="FF252A27"/>
      <name val="Carlito"/>
    </font>
    <font>
      <b/>
      <sz val="10.0"/>
      <color rgb="FF20322B"/>
      <name val="Carlito"/>
    </font>
    <font>
      <b/>
      <sz val="14.0"/>
      <color rgb="FF20322B"/>
      <name val="Carlito"/>
    </font>
    <font>
      <color theme="1"/>
      <name val="Carlito"/>
      <scheme val="minor"/>
    </font>
    <font>
      <color rgb="FF0000FF"/>
    </font>
    <font>
      <sz val="10.0"/>
      <color rgb="FF1F1F1F"/>
      <name val="Carlito"/>
    </font>
  </fonts>
  <fills count="7">
    <fill>
      <patternFill patternType="none"/>
    </fill>
    <fill>
      <patternFill patternType="lightGray"/>
    </fill>
    <fill>
      <patternFill patternType="solid">
        <fgColor rgb="FF20322B"/>
        <bgColor rgb="FF20322B"/>
      </patternFill>
    </fill>
    <fill>
      <patternFill patternType="solid">
        <fgColor rgb="FFF4EFE5"/>
        <bgColor rgb="FFF4EFE5"/>
      </patternFill>
    </fill>
    <fill>
      <patternFill patternType="solid">
        <fgColor rgb="FF748C76"/>
        <bgColor rgb="FF748C76"/>
      </patternFill>
    </fill>
    <fill>
      <patternFill patternType="solid">
        <fgColor rgb="FFFAF8F3"/>
        <bgColor rgb="FFFAF8F3"/>
      </patternFill>
    </fill>
    <fill>
      <patternFill patternType="solid">
        <fgColor rgb="FFFFFFFF"/>
        <bgColor rgb="FFFFFFFF"/>
      </patternFill>
    </fill>
  </fills>
  <borders count="5">
    <border/>
    <border>
      <bottom style="medium">
        <color rgb="FF20322B"/>
      </bottom>
    </border>
    <border>
      <bottom style="thin">
        <color rgb="FFDED8CE"/>
      </bottom>
    </border>
    <border>
      <top style="thin">
        <color rgb="FFDED8CE"/>
      </top>
      <bottom style="thin">
        <color rgb="FFDED8CE"/>
      </bottom>
    </border>
    <border>
      <top style="thin">
        <color rgb="FFDED8CE"/>
      </top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3" fontId="2" numFmtId="0" xfId="0" applyAlignment="1" applyFill="1" applyFont="1">
      <alignment shrinkToFit="0" wrapText="1"/>
    </xf>
    <xf borderId="0" fillId="3" fontId="3" numFmtId="0" xfId="0" applyFill="1" applyFont="1"/>
    <xf borderId="1" fillId="4" fontId="4" numFmtId="0" xfId="0" applyAlignment="1" applyBorder="1" applyFill="1" applyFont="1">
      <alignment shrinkToFit="0" vertical="center" wrapText="1"/>
    </xf>
    <xf borderId="1" fillId="4" fontId="4" numFmtId="0" xfId="0" applyAlignment="1" applyBorder="1" applyFill="1" applyFont="1">
      <alignment readingOrder="0" shrinkToFit="0" vertical="center" wrapText="1"/>
    </xf>
    <xf borderId="0" fillId="5" fontId="5" numFmtId="0" xfId="0" applyFill="1" applyFont="1"/>
    <xf borderId="0" fillId="2" fontId="1" numFmtId="0" xfId="0" applyAlignment="1" applyFill="1" applyFont="1">
      <alignment shrinkToFit="0" vertical="center" wrapText="1"/>
    </xf>
    <xf borderId="2" fillId="0" fontId="6" numFmtId="0" xfId="0" applyAlignment="1" applyBorder="1" applyFont="1">
      <alignment vertical="top"/>
    </xf>
    <xf borderId="2" fillId="0" fontId="6" numFmtId="0" xfId="0" applyAlignment="1" applyBorder="1" applyFont="1">
      <alignment readingOrder="0" vertical="top"/>
    </xf>
    <xf borderId="2" fillId="0" fontId="7" numFmtId="0" xfId="0" applyAlignment="1" applyBorder="1" applyFont="1">
      <alignment vertical="top"/>
    </xf>
    <xf borderId="2" fillId="0" fontId="6" numFmtId="1" xfId="0" applyAlignment="1" applyBorder="1" applyFont="1" applyNumberFormat="1">
      <alignment vertical="top"/>
    </xf>
    <xf borderId="3" fillId="0" fontId="6" numFmtId="0" xfId="0" applyAlignment="1" applyBorder="1" applyFont="1">
      <alignment readingOrder="0" shrinkToFit="0" vertical="top" wrapText="1"/>
    </xf>
    <xf borderId="2" fillId="0" fontId="6" numFmtId="164" xfId="0" applyAlignment="1" applyBorder="1" applyFont="1" applyNumberFormat="1">
      <alignment readingOrder="0" vertical="top"/>
    </xf>
    <xf borderId="0" fillId="6" fontId="8" numFmtId="0" xfId="0" applyFill="1" applyFont="1"/>
    <xf borderId="3" fillId="0" fontId="6" numFmtId="0" xfId="0" applyAlignment="1" applyBorder="1" applyFont="1">
      <alignment shrinkToFit="0" vertical="top" wrapText="1"/>
    </xf>
    <xf borderId="3" fillId="0" fontId="7" numFmtId="0" xfId="0" applyAlignment="1" applyBorder="1" applyFont="1">
      <alignment vertical="top"/>
    </xf>
    <xf borderId="3" fillId="0" fontId="6" numFmtId="0" xfId="0" applyAlignment="1" applyBorder="1" applyFont="1">
      <alignment vertical="top"/>
    </xf>
    <xf borderId="2" fillId="0" fontId="6" numFmtId="165" xfId="0" applyAlignment="1" applyBorder="1" applyFont="1" applyNumberFormat="1">
      <alignment vertical="top"/>
    </xf>
    <xf borderId="2" fillId="0" fontId="6" numFmtId="164" xfId="0" applyAlignment="1" applyBorder="1" applyFont="1" applyNumberFormat="1">
      <alignment vertical="top"/>
    </xf>
    <xf borderId="3" fillId="0" fontId="6" numFmtId="0" xfId="0" applyAlignment="1" applyBorder="1" applyFont="1">
      <alignment readingOrder="0" vertical="top"/>
    </xf>
    <xf borderId="0" fillId="0" fontId="9" numFmtId="0" xfId="0" applyAlignment="1" applyFont="1">
      <alignment readingOrder="0"/>
    </xf>
    <xf borderId="0" fillId="6" fontId="8" numFmtId="164" xfId="0" applyFill="1" applyFont="1" applyNumberFormat="1"/>
    <xf borderId="3" fillId="0" fontId="6" numFmtId="0" xfId="0" applyAlignment="1" applyBorder="1" applyFont="1">
      <alignment readingOrder="0" shrinkToFit="0" vertical="top" wrapText="1"/>
    </xf>
    <xf borderId="4" fillId="0" fontId="7" numFmtId="0" xfId="0" applyAlignment="1" applyBorder="1" applyFont="1">
      <alignment vertical="top"/>
    </xf>
    <xf borderId="3" fillId="0" fontId="6" numFmtId="165" xfId="0" applyAlignment="1" applyBorder="1" applyFont="1" applyNumberFormat="1">
      <alignment vertical="top"/>
    </xf>
    <xf borderId="4" fillId="0" fontId="6" numFmtId="0" xfId="0" applyAlignment="1" applyBorder="1" applyFont="1">
      <alignment vertical="top"/>
    </xf>
    <xf borderId="3" fillId="0" fontId="6" numFmtId="164" xfId="0" applyAlignment="1" applyBorder="1" applyFont="1" applyNumberFormat="1">
      <alignment readingOrder="0" shrinkToFit="0" vertical="top" wrapText="1"/>
    </xf>
    <xf borderId="2" fillId="0" fontId="6" numFmtId="0" xfId="0" applyAlignment="1" applyBorder="1" applyFont="1">
      <alignment readingOrder="0" vertical="top"/>
    </xf>
    <xf borderId="2" fillId="0" fontId="6" numFmtId="166" xfId="0" applyAlignment="1" applyBorder="1" applyFont="1" applyNumberFormat="1">
      <alignment vertical="top"/>
    </xf>
    <xf borderId="3" fillId="0" fontId="6" numFmtId="1" xfId="0" applyAlignment="1" applyBorder="1" applyFont="1" applyNumberFormat="1">
      <alignment vertical="top"/>
    </xf>
    <xf borderId="3" fillId="0" fontId="6" numFmtId="164" xfId="0" applyAlignment="1" applyBorder="1" applyFont="1" applyNumberFormat="1">
      <alignment vertical="top"/>
    </xf>
    <xf borderId="3" fillId="0" fontId="6" numFmtId="166" xfId="0" applyAlignment="1" applyBorder="1" applyFont="1" applyNumberFormat="1">
      <alignment vertical="top"/>
    </xf>
    <xf borderId="3" fillId="0" fontId="6" numFmtId="164" xfId="0" applyAlignment="1" applyBorder="1" applyFont="1" applyNumberFormat="1">
      <alignment readingOrder="0" vertical="top"/>
    </xf>
    <xf borderId="4" fillId="0" fontId="6" numFmtId="165" xfId="0" applyAlignment="1" applyBorder="1" applyFont="1" applyNumberFormat="1">
      <alignment vertical="top"/>
    </xf>
    <xf borderId="0" fillId="3" fontId="2" numFmtId="0" xfId="0" applyAlignment="1" applyFill="1" applyFont="1">
      <alignment shrinkToFit="0" vertical="center" wrapText="1"/>
    </xf>
    <xf borderId="3" fillId="0" fontId="6" numFmtId="0" xfId="0" applyAlignment="1" applyBorder="1" applyFont="1">
      <alignment readingOrder="0" vertical="top"/>
    </xf>
    <xf borderId="3" fillId="0" fontId="6" numFmtId="1" xfId="0" applyAlignment="1" applyBorder="1" applyFont="1" applyNumberFormat="1">
      <alignment readingOrder="0" vertical="top"/>
    </xf>
    <xf borderId="4" fillId="0" fontId="6" numFmtId="0" xfId="0" applyAlignment="1" applyBorder="1" applyFont="1">
      <alignment readingOrder="0" shrinkToFit="0" vertical="top" wrapText="1"/>
    </xf>
    <xf borderId="4" fillId="0" fontId="6" numFmtId="0" xfId="0" applyAlignment="1" applyBorder="1" applyFont="1">
      <alignment shrinkToFit="0" vertical="top" wrapText="1"/>
    </xf>
    <xf borderId="4" fillId="0" fontId="6" numFmtId="0" xfId="0" applyAlignment="1" applyBorder="1" applyFont="1">
      <alignment readingOrder="0" shrinkToFit="0" vertical="top" wrapText="1"/>
    </xf>
    <xf borderId="4" fillId="0" fontId="6" numFmtId="164" xfId="0" applyAlignment="1" applyBorder="1" applyFont="1" applyNumberFormat="1">
      <alignment readingOrder="0" shrinkToFit="0" vertical="top" wrapText="1"/>
    </xf>
    <xf borderId="0" fillId="0" fontId="10" numFmtId="0" xfId="0" applyAlignment="1" applyFont="1">
      <alignment readingOrder="0"/>
    </xf>
    <xf borderId="0" fillId="0" fontId="9" numFmtId="167" xfId="0" applyAlignment="1" applyFont="1" applyNumberFormat="1">
      <alignment readingOrder="0"/>
    </xf>
    <xf borderId="3" fillId="0" fontId="11" numFmtId="0" xfId="0" applyAlignment="1" applyBorder="1" applyFont="1">
      <alignment readingOrder="0" vertical="top"/>
    </xf>
    <xf borderId="4" fillId="0" fontId="6" numFmtId="1" xfId="0" applyAlignment="1" applyBorder="1" applyFont="1" applyNumberFormat="1">
      <alignment vertical="top"/>
    </xf>
    <xf borderId="4" fillId="0" fontId="6" numFmtId="164" xfId="0" applyAlignment="1" applyBorder="1" applyFont="1" applyNumberFormat="1">
      <alignment vertical="top"/>
    </xf>
    <xf borderId="4" fillId="0" fontId="6" numFmtId="166" xfId="0" applyAlignment="1" applyBorder="1" applyFont="1" applyNumberFormat="1">
      <alignment vertical="top"/>
    </xf>
    <xf borderId="0" fillId="0" fontId="9" numFmtId="0" xfId="0" applyFont="1"/>
  </cellXfs>
  <cellStyles count="1">
    <cellStyle xfId="0" name="Normal" builtinId="0"/>
  </cellStyles>
  <dxfs count="3">
    <dxf>
      <font>
        <b/>
        <color rgb="FF24462B"/>
      </font>
      <fill>
        <patternFill patternType="solid">
          <fgColor rgb="FFDCE8DE"/>
          <bgColor rgb="FFDCE8DE"/>
        </patternFill>
      </fill>
      <border/>
    </dxf>
    <dxf>
      <font>
        <b/>
        <color rgb="FF6B5215"/>
      </font>
      <fill>
        <patternFill patternType="solid">
          <fgColor rgb="FFF4E3B5"/>
          <bgColor rgb="FFF4E3B5"/>
        </patternFill>
      </fill>
      <border/>
    </dxf>
    <dxf>
      <font>
        <b/>
        <color rgb="FF7B3029"/>
      </font>
      <fill>
        <patternFill patternType="solid">
          <fgColor rgb="FFE8D8D2"/>
          <bgColor rgb="FFE8D8D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mazon.com/Electric-Removable-Countertop-Toasting-TP2210B/dp/B0B4Y2H138/ref=sxin_16_pa_sp_search_thematic_sspa?content-id=amzn1.sym.8eb671a2-a903-4c3a-b962-ebb867a4f8f8%3Aamzn1.sym.8eb671a2-a903-4c3a-b962-ebb867a4f8f8&amp;crid=1FEHNGMQ2ST93&amp;cv_ct_cx=toaster&amp;keywords=toaster&amp;pd_rd_i=B0B4Y2H138&amp;pd_rd_r=7fc3504b-2245-426d-a576-50ea5611b7e8&amp;pd_rd_w=vHprh&amp;pd_rd_wg=vcjI1&amp;pf_rd_p=8eb671a2-a903-4c3a-b962-ebb867a4f8f8&amp;pf_rd_r=F0HK696AH6PT5FHV99YB&amp;qid=1787197528&amp;s=home-garden&amp;sbo=RZvfv%2F%2FHxDF%2BO5021pAnSA%3D%3D&amp;sprefix=toaster%2Cgarden%2C157&amp;sr=1-2-6024b2a3-78e4-4fed-8fed-e1613be3bcce-spons&amp;aref=g2zSPIy1Bp&amp;sp_csd=d2lkZ2V0TmFtZT1zcF9zZWFyY2hfdGhlbWF0aWM&amp;th=1" TargetMode="External"/><Relationship Id="rId22" Type="http://schemas.openxmlformats.org/officeDocument/2006/relationships/hyperlink" Target="https://www.walmart.com/ip/Thyme-Table-Wing-Corkscrew-for-All-Corks/5203677632?classType=REGULAR&amp;from=/search" TargetMode="External"/><Relationship Id="rId21" Type="http://schemas.openxmlformats.org/officeDocument/2006/relationships/hyperlink" Target="https://www.amazon.com/Keurig-K-Compact-Single-Serve-K-Cup-Coffee/dp/B0BV9HKMNT/ref=sr_1_10?crid=1OV1Y6EO27NP1&amp;dib=eyJ2IjoiMSJ9.y6bnNURbqTd8hK7lrq7nCh5fB2aZXpqYfCjBWaAqU1Q97jENAdR70-AqyqEZMnhaMmo7EpMaRETftlrUv2ToOKXRqARc3lHIfM5XJfyrbN8WsT6mlKrz4UQJ1tkDWCSK3fjIo1yjCeqeTQFVNhHHc7U26LvhO5UkRaoT-xo77FGtgECRstVfNC4Xd0OcDc6tqT2JTJeKTdXi3J4h89p_pw1qMIKk5eoOcO3nGKW1Fh8qNZgQa0KpJc5Ee_afQpBS94WH1Y9XL1_JwqjjkXjqqXBxpCPwNKUrJ9qNNOqtQYg.k_8md-0WjmXua5sfjyBngc9y1mg-KCh2JRs6b3iCQ0Y&amp;dib_tag=se&amp;keywords=keurig%2Bsingle%2Bcup%2Bcoffee%2Bmaker&amp;qid=1787197194&amp;s=home-garden&amp;sprefix=keurig%2Bcoffee%2Bmaker%2Bsingle%2Cgarden%2C156&amp;sr=1-10&amp;th=1" TargetMode="External"/><Relationship Id="rId24" Type="http://schemas.openxmlformats.org/officeDocument/2006/relationships/hyperlink" Target="https://www.amazon.com/KdbK-Fingerprint-Stainless-Kitchen-Removable/dp/B0D17SK39X/ref=sr_1_17?crid=32RH332YG07K6&amp;dib=eyJ2IjoiMSJ9.zjzLiKLTs6FDFXeR8zamzfdSkwdfOzC8PXAQrm-DSC_Wb5YGJJZBGojuqq7wLVLTaorEng_ReWZoqUTRlyeLV9eInk1orrSVuW4K3zm6yga2BmGjOdbhD8_9zni-44Jkf5_xAaqPyChDDmKmkxuQcDfCantyx534vDnUa-vWLHX-3OISZtx_aOxBKrDxc-r3fNvI2vUdIqcqiQ7Beezm7cz-BBgjQ7dXAPi00_vuWkUK8WXCCDEk8QpFsLq0GfIjG_6YsOHfcx14DVRnf2-b7QgLbM__Zx8qhqJ-gL5Lvi0.2PZoNMdSRY6C_kJt2htYgtinLo1LhNxLxmjWOmfkU00&amp;dib_tag=se&amp;keywords=kitchen%2Btrash%2Bcan&amp;qid=1787666032&amp;sprefix=kitchen%2Btrash%2Bcan%2Caps%2C198&amp;sr=8-17&amp;th=1" TargetMode="External"/><Relationship Id="rId23" Type="http://schemas.openxmlformats.org/officeDocument/2006/relationships/hyperlink" Target="https://www.amazon.com/dp/B0F674MB7K/?coliid=IFR88Q91XAFDF&amp;colid=1RYZ0J81FZ71T&amp;ref_=list_c_wl_lv_ov_lig_dp_it&amp;th=1" TargetMode="External"/><Relationship Id="rId1" Type="http://schemas.openxmlformats.org/officeDocument/2006/relationships/hyperlink" Target="https://www.walmart.com/ip/Baxluxe-3-Pieces-Living-Room-Coffee-Table-Set-Retro-Coffee-Table-2-Square-End-Tables-Tea-Table-Set-Metal-Frame-Apartment-Home-Office-Gray/17210359637?athAsset=eyJhdGhjcGlkIjoiMTcyMTAzNTk2MzciLCJhdGhzdGlkIjoiQ1M0Nzh%2BQ1MwOTgiLCJhdGhwb3NiIjoiMTYiLCJhdGhhbmNpZCI6IjE2NTIyODczMDQ2IiwiYXRocmsiOjAuMH0=&amp;athena=true&amp;ssp=AMCF&amp;athbdg=L1600" TargetMode="External"/><Relationship Id="rId2" Type="http://schemas.openxmlformats.org/officeDocument/2006/relationships/hyperlink" Target="https://www.wayfair.com/furniture/pdp/17-stories-ryota-rectangular-275-l-x-43-w-dining-set-w110029078.html?piid=14641350&amp;auctionId=84e30a44-8542-4147-bb3a-a6ae12168151&amp;trackingId=%7B%22adType%22%3A%22WSP%22%2C%22auctionId%22%3A%2284e30a44-8542-4147-bb3a-a6ae12168151%22%7D&amp;adTypeId=1" TargetMode="External"/><Relationship Id="rId3" Type="http://schemas.openxmlformats.org/officeDocument/2006/relationships/hyperlink" Target="https://www.walmart.com/ip/Onn-55-4K-UHD-POWERED-BY-nbsp-VIZIO-nbsp-TV/16112057713?classType=REGULAR&amp;athbdg=L1200&amp;from=/search" TargetMode="External"/><Relationship Id="rId4" Type="http://schemas.openxmlformats.org/officeDocument/2006/relationships/hyperlink" Target="https://www.walmart.com/ip/Asofer-3-in-1-Convertible-Sofa-Bed-with-Pull-Out-Couch-Storage-Armrests-Adjustable-Backrest-Dark-Gray/18877011143?wmlspartner=wlpa&amp;selectedSellerId=101568055&amp;gclsrc=aw.ds&amp;&amp;adid=2222222222718877011143_101568055_197550293509_23983641304&amp;wl0=&amp;wl1=g&amp;wl2=c&amp;wl3=814384077295&amp;wl4=pla-2488144350671&amp;wl5=9027296&amp;wl6=&amp;wl7=&amp;wl8=&amp;wl9=pla&amp;wl10=5324904963&amp;wl11=online&amp;wl12=18877011143_101568055&amp;veh=sem&amp;gad_source=1&amp;gad_campaignid=23983641304&amp;gbraid=0AAAABDAnf94aVAcpCqC-W5PtSYyUiR2eo&amp;gclid=CjwKCAjwy5rUBhB5EiwAIoAtCsxAQw3ZBOggUWULhGJUDa1NSgNpKNh_Nyvamr5y8lwA7ay0XheN7xoCgTgQAvD_BwE" TargetMode="External"/><Relationship Id="rId9" Type="http://schemas.openxmlformats.org/officeDocument/2006/relationships/hyperlink" Target="https://www.amazon.com/Teenyyou-Centerpiece-Decorations-Natural-Decorative/dp/B0DB1WX11X/ref=sr_1_16?crid=2DHFZ951CMSNA&amp;dib=eyJ2IjoiMSJ9.bJuy5ysgscqE-qjq6fpmUugXuBaqd2fFlkCgaTg4MbpHzCBdePwv9_4T2-tPZJHiZNFfWIwPTzhvbvQ5d40N5s5g2np9bm4WYWq77XHungCtvLDKCZwlObM6bTzOyu66ezrfnSxyWXkXIGQwFJKj8izObMrsMKBNg7gYrdx9vJyhlk-wrEvHIQLLh5gsU1v7yP9vhRu2rSL99VSEPVFMzyY3H-j5oFgleixNCO3-xCUJVyUfnEh8asY556q70RiF8nODq9HX37VQqYEwGZP3TWil1DNct-MIoR88pHuM4go.cJJ1unB7fMJypK_Cat83vMy5pdlMpaE1W-pacq6THXQ&amp;dib_tag=se&amp;keywords=bowl%2Bwith%2Bdecorative%2Bball%2Bset&amp;qid=1787286303&amp;sprefix=bowl%2Bwith%2Bdecorative%2Bball%2Bset%2Caps%2C155&amp;sr=8-16&amp;th=1" TargetMode="External"/><Relationship Id="rId25" Type="http://schemas.openxmlformats.org/officeDocument/2006/relationships/drawing" Target="../drawings/drawing2.xml"/><Relationship Id="rId5" Type="http://schemas.openxmlformats.org/officeDocument/2006/relationships/hyperlink" Target="https://www.walmart.com/ip/DAYBETTER-Arc-Floor-Lamp-Living-Room-Farmhouse-Lamps-3-Color-Temperatures-Unique-Hanging-Douoble-Drum-Lampshade-Bedroom-Room/18562314755?wmlspartner=wlpa&amp;selectedSellerId=101074895&amp;selectedOfferId=AC99BEB3219931969E2902E1B9242D4B&amp;conditionGroupCode=1&amp;gclsrc=aw.ds&amp;&amp;adid=22222222227AC99BEB3219931969E2902E1B9242D4B_201917097554_24093496471&amp;wl0=&amp;wl1=g&amp;wl2=c&amp;wl3=818958117028&amp;wl4=pla-2480486220622&amp;wl5=9027296&amp;wl6=&amp;wl7=&amp;wl8=&amp;wl9=pla&amp;wl10=422556803&amp;wl11=online&amp;wl12=AC99BEB3219931969E2902E1B9242D4B&amp;veh=sem&amp;gad_source=4&amp;gad_campaignid=24093496471&amp;gbraid=0AAAABDAnf94mVWmpTXiy3-Xrej0PH456t&amp;gclid=CjwKCAjwy5rUBhB5EiwAIoAtCllch-DAs9IcVhvn8dIbXetXuQzGnM0SCw74AYS8Er2tBxuZFyE7YxoCweEQAvD_BwE" TargetMode="External"/><Relationship Id="rId6" Type="http://schemas.openxmlformats.org/officeDocument/2006/relationships/hyperlink" Target="https://www.walmart.com/ip/5FT-Artificial-Ficus-Tree-with-Natural-Wood-Trunk-and-Lifelike-Leaves-Silk-Fake-Potted-Tree-with-Wood-Branches-Faux-Tree-for-Office-Home-Decor/5109329248?wmlspartner=wlpa&amp;selectedSellerId=101078367&amp;selectedOfferId=C62FB8449A9335D38C16FECD521683CE&amp;conditionGroupCode=1&amp;gclsrc=aw.ds&amp;&amp;adid=22222222227C62FB8449A9335D38C16FECD521683CE_186470818946_22924454142&amp;wl0=&amp;wl1=g&amp;wl2=c&amp;wl3=779154776326&amp;wl4=pla-2447080184631&amp;wl5=9027296&amp;wl6=&amp;wl7=&amp;wl8=&amp;wl9=pla&amp;wl10=422569237&amp;wl11=online&amp;wl12=C62FB8449A9335D38C16FECD521683CE&amp;veh=sem&amp;gad_source=1&amp;gad_campaignid=22924454142&amp;gbraid=0AAAABDAnf949hSuxQvhKJuICID3NCGzqU&amp;gclid=CjwKCAjwy5rUBhB5EiwAIoAtCl6pV0E2etwdzaXV12CdG78hb9zfZBq6-wWrRZl6gLTP9w1BVzw3MhoC9jwQAvD_BwE" TargetMode="External"/><Relationship Id="rId7" Type="http://schemas.openxmlformats.org/officeDocument/2006/relationships/hyperlink" Target="https://www.amazon.com/dp/B0GTTYHLH4/ref=twister_B0G43JPZLX?_encoding=UTF8&amp;th=1" TargetMode="External"/><Relationship Id="rId8" Type="http://schemas.openxmlformats.org/officeDocument/2006/relationships/hyperlink" Target="https://www.wayfair.com/decor-pillows/pdp/idea4wall-mid-century-shape-warm-brown-faded-black-abstract-lines-artwork-modern-minimalist-neutral-wall-pictures-framed-canvas-giclee-print-2-pieces-wall-art-16x24x2-pcs-24x36x2-pcs-sfta7516.html?piid=92285705%2C92285706%2C119463642" TargetMode="External"/><Relationship Id="rId11" Type="http://schemas.openxmlformats.org/officeDocument/2006/relationships/hyperlink" Target="https://www.amazon.com/dp/B0FWCRTG82/?coliid=I114SDJDGX8FKY&amp;colid=1VYLQVL2D6O92&amp;ref_=list_c_wl_lv_ov_lig_dp_it&amp;th=1" TargetMode="External"/><Relationship Id="rId10" Type="http://schemas.openxmlformats.org/officeDocument/2006/relationships/hyperlink" Target="https://www.walmart.com/ip/Onn-55-4K-UHD-POWERED-BY-nbsp-VIZIO-nbsp-TV/16112057713?classType=REGULAR&amp;athbdg=L1200&amp;from=/search" TargetMode="External"/><Relationship Id="rId13" Type="http://schemas.openxmlformats.org/officeDocument/2006/relationships/hyperlink" Target="https://www.amazon.com/gp/product/B01DE29JW0?tag=new08e1-20&amp;ie=UTF8&amp;th=1&amp;linkId=fa3066d6904106787133c86ab0e9b4cc&amp;ref_=as_li_ss_tl&amp;geniuslink=true&amp;ascsubtag=srctok-3d1aa4c44ce96f50&amp;btn_type=pt&amp;btn_ref=srctok-3d1aa4c44ce96f50" TargetMode="External"/><Relationship Id="rId12" Type="http://schemas.openxmlformats.org/officeDocument/2006/relationships/hyperlink" Target="https://www.amazon.com/Dreamholder-Bedside-Charging-Holders-Nightstand/dp/B0H378M6XP/ref=sr_1_52?crid=1BLFXHA7EX9N3&amp;dib=eyJ2IjoiMSJ9.wfPbD8qvCSJdIuSibc-aE3ZS6w44Zw3Ybo2drejg6WrIQY-HWusWDzKzQDG1IC9PTbJ1tUMdeAN--oXNsdrSaryE9IaKC6rvdROUkLh3X_NckXoANcdLVCbFnhdER9LCGbZhiAP-RPur2a4fTl6ZGb_gBkqCkGHqV08OGr2pTwn_DfTojUTHnBtxcJm6-Nb2hMwAtAWqbP1wK9tD9iv2qGF9G1usJ0yTdJPd5mDdGoX-Ki-IMYkRV6Qk3NeV3agIwn5kYdVpbMCKW17xIYywx4ONAEiU8VsjytNl4Yk3BNk.7JQE1RYQP7cSQTpBCqE1g6JJOb9ZvBICScLDBCHeKvk&amp;dib_tag=se&amp;keywords=Small%2BTable%2BLamp%2BSet%2BWith%2BUSB%2BA%2BC%2BCharging%2BPorts&amp;nsdOptOutParam=true&amp;qid=1787200065&amp;sprefix=small%2Btable%2Blamp%2Bset%2Bwith%2Busb%2Ba%2Bc%2Bcharging%2Bports%2Caps%2C190&amp;sr=8-52&amp;th=1" TargetMode="External"/><Relationship Id="rId15" Type="http://schemas.openxmlformats.org/officeDocument/2006/relationships/hyperlink" Target="https://www.amazon.com/EPiiChua-Bathroom-Garbage-Kitchen-Bedroom/dp/B0BKG7FD8T/ref=sr_1_20_sspa?crid=2SZ79LUUS6J3B&amp;dib=eyJ2IjoiMSJ9.DhEwDS1T9xEnfYkGyNbzjRrfF6cJYJd5BpP3Ej94aaKTy_js3ACpjNaT_V-P4ZlmpTVxsXpAQQxiFVvfxtZtiGmQB22kkS2P-Y4v0blWp8v3FKhxxYYvK7YT0lZP11mnuFMxJLrpAOdl2Bzh7O1OP9CEoC80V-xFiRuUJwo-1ZDV80455PHCMx8gQzYIayJGEMtbqQ32xFScorrIHgZQEFTs3mKXpPyvvPhZRfdGbPY-LU2msTNTX4lEx_PO4SJSOS6DsrySNT38uoCydjn8OX0X0Nl25stKQsnOGPTfvj0.fBXrde99ATiVSGUZ8fMzmJoJdREMHhMFg0sWFHE0ND8&amp;dib_tag=se&amp;keywords=office%2Btrash%2Bcan%2Bwith%2Blid&amp;qid=1787613373&amp;sprefix=office%2Btrash%2Bcan%2Bwith%2Blid%2Caps%2C237&amp;sr=8-20-spons&amp;sp_csd=d2lkZ2V0TmFtZT1zcF9tdGY&amp;th=1" TargetMode="External"/><Relationship Id="rId14" Type="http://schemas.openxmlformats.org/officeDocument/2006/relationships/hyperlink" Target="https://www.wayfair.com/furniture/pdp/george-oliver-levnis-360-swivel-faux-leather-home-office-desk-chair-w114069782.html?piid=1657233047" TargetMode="External"/><Relationship Id="rId17" Type="http://schemas.openxmlformats.org/officeDocument/2006/relationships/hyperlink" Target="https://www.amazon.com/Yimobra-Comfortable-Absorption-Non-Slip-Bathroom/dp/B07VX6GH88/ref=sr_1_4_sspa?dib=eyJ2IjoiMSJ9.cbfGz45SCWag2g7EK9flIbDIdEL2EeABFsEkHHdubFVtOB6B-5vZ0EWdTjJyH5sgERwke26lprtIFAt18xhPNiynQXpRZpqISeXURi4NYTvj3h_C16KTnoX7JFhFcCoujGDwGqS62v9xq6Cy3t5Ezv01lGs0BBJdb3A-Avh8AXhOTkYdY9fKV2TC1PcOQu4ycqHYVRLQ9RgQ4jESOhhlcMa1NfTaLqRkTeFkucZ0_YXRBGK52C78ol4RXRpIYH3Qvj9OgUbvO-t08WhkrmHgNVHR0qAv-Inq2BIB9IqkOjs.q7vrT8Wyn3kI7nukishFTQJg_W1WU83yS_KUnVJJUa8&amp;dib_tag=se&amp;keywords=quick%2Bdry%2Bbath%2Brug&amp;qid=1787198418&amp;sr=8-4-spons&amp;sp_csd=d2lkZ2V0TmFtZT1zcF9hdGY&amp;th=1" TargetMode="External"/><Relationship Id="rId16" Type="http://schemas.openxmlformats.org/officeDocument/2006/relationships/hyperlink" Target="https://www.walmart.com/ip/WM-OVZME-Waffle-Textured-Shower-Curtain-Sage-Green-36x72/16797559260?classType=VARIANT&amp;athbdg=L1900&amp;adsRedirect=true" TargetMode="External"/><Relationship Id="rId19" Type="http://schemas.openxmlformats.org/officeDocument/2006/relationships/hyperlink" Target="https://www.walmart.com/ip/PANCERKA-Chic-Rapid-Boil-Kettle-1-8L-Cordless-Water-Warmer-White/14111214095?athAsset=eyJhdGhjcGlkIjoiMTQxMTEyMTQwOTUiLCJhdGhzdGlkIjoiQ1M0NzgiLCJhdGhwb3NiIjoiLTEiLCJhdGhhbmNpZCI6IjUxNTg2NzI4MjQiLCJhdGhyayI6MC4wfQ==&amp;athena=true&amp;ssp=AMCF" TargetMode="External"/><Relationship Id="rId18" Type="http://schemas.openxmlformats.org/officeDocument/2006/relationships/hyperlink" Target="https://www.amazon.com/TLIEAO-Mini-First-Aid-Kit/dp/B0FSQ6NDQJ/ref=sr_1_6?dib=eyJ2IjoiMSJ9.zHOMVen-ijCqKcw7bRatKYzn9OKvmzCdUDy9kAmXdf9DoS6jMK8e_bIz3WUqOIGRSqbKpWjXHeJRZ3hEUw6Bw0sGMmGA17wrBtXXQTmnx1GIZdYC-Tp9LZzY1zXjofNuPvd360qg3pE3a_iCUemw7mena_Gy215JvB2pzkU7m3LKGW5fHfoSINxfHsw7A5d2ZEvDW3Q2dnkmYaHhbPi7UhP3LvXUY8dxB5q0mxcNOWkmdXn7bxiqD4ivt_KmgV54hXvS2qQTRPXBsPC38FZu7-MKd_G8kroiFHBQ9VVZ_4o.AYBrnPlRTdG0Sjn_T9Og9sTHIPvcSNyeBhxon_eSFAg&amp;dib_tag=se&amp;keywords=first%2Baid%2Bkit&amp;qid=1787198237&amp;sr=8-6&amp;th=1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walmart.com/ip/Artificial-Eucalyptus-Stems-Glass-Vase-Faux-Water-16-Fake-Plants-Home-Decor-Coffee-Table-Centerpieces-Office-Bathroom-Greenery-Decorations/18861365856" TargetMode="External"/><Relationship Id="rId22" Type="http://schemas.openxmlformats.org/officeDocument/2006/relationships/drawing" Target="../drawings/drawing3.xml"/><Relationship Id="rId21" Type="http://schemas.openxmlformats.org/officeDocument/2006/relationships/hyperlink" Target="https://www.walmart.com/ip/Sm-e-Sage-Green-Table-Runner-13x72-Inch-Seasonal-Washable-Kitchen-Dining-Table-Decoration-for-Home-Party/16468020336?wmlspartner=wlpa&amp;selectedSellerId=101090365&amp;selectedOfferId=D3F3FF6ADE14322EA3E6470B19730A60&amp;conditionGroupCode=1&amp;sourceid=dsn_gdn_0c92c416-dbd6-42ec-845c-ecf69af2153d&amp;veh=dsn&amp;wmlspartner=dsn_gdn_0c92c416-dbd6-42ec-845c-ecf69af2153d&amp;cn=0042_fy27_mp_mpa_lo_int_dis_pmax-p13n&amp;wl0=&amp;wl1=g&amp;wl2=c&amp;wl3=&amp;wl4=&amp;wl5=9027296&amp;wl6=&amp;wl7=&amp;wl8=&amp;wl9=pla&amp;wl10=466096436&amp;wl11=online&amp;wl12=D3F3FF6ADE14322EA3E6470B19730A60&amp;gclsrc=aw.ds&amp;gad_source=1&amp;gad_campaignid=23148469844&amp;gbraid=0AAAAADmfBIocJf8YW8QOBZcx1GCJBtAZ_&amp;gclid=Cj0KCQjw16_UBhCqARIsAIdOaXyV5J1UCF0r16dzAygnb6kaFBh35f3vNYY49bsg8i0RCmdA8EQSv4EaAuRKEALw_wcB" TargetMode="External"/><Relationship Id="rId1" Type="http://schemas.openxmlformats.org/officeDocument/2006/relationships/hyperlink" Target="https://www.amazon.com/Charger-Protector-QINLIANF-Extender-Charging/dp/B08R6T1M9T?tag=lifewire-paid-20&amp;ascsubtag=11712201%7C%7C%7C%7C%7C%7Cpc&amp;th=1" TargetMode="External"/><Relationship Id="rId2" Type="http://schemas.openxmlformats.org/officeDocument/2006/relationships/hyperlink" Target="https://www.walmart.com/ip/Cord-Hider-Delamu-31-4-Cord-Cover-Large-PVC-Wire-Cable-Hider-for-Wall-Mounted-TV-White/634148719?wmlspartner=wlpa&amp;selectedSellerId=101073679&amp;selectedOfferId=91121EF9C4944C0AB4DFC75C86387EAF&amp;conditionGroupCode=1&amp;sourceid=dsn_gdn_0c92c416-dbd6-42ec-845c-ecf69af2153d&amp;veh=dsn&amp;wmlspartner=dsn_gdn_0c92c416-dbd6-42ec-845c-ecf69af2153d&amp;cn=0042_fy27_mp_mpa_lo_int_dis_pmax-p13n&amp;wl0=&amp;wl1=g&amp;wl2=c&amp;wl3=&amp;wl4=&amp;wl5=9027296&amp;wl6=&amp;wl7=&amp;wl8=&amp;wl9=pla&amp;wl10=479410972&amp;wl11=online&amp;wl12=91121EF9C4944C0AB4DFC75C86387EAF&amp;gclsrc=aw.ds&amp;gad_source=1&amp;gad_campaignid=23148469844&amp;gbraid=0AAAAADmfBIocJf8YW8QOBZcx1GCJBtAZ_&amp;gclid=Cj0KCQjw16_UBhCqARIsAIdOaXwzIyumOB5atjOeQw2Xh8G_UioBeGYJdg5EyqcjpcoJPx4KUp-OMOAaAkTXEALw_wcB" TargetMode="External"/><Relationship Id="rId3" Type="http://schemas.openxmlformats.org/officeDocument/2006/relationships/hyperlink" Target="https://www.amazon.com/Charger-Protector-QINLIANF-Extender-Charging/dp/B08R6T1M9T?tag=lifewire-paid-20&amp;ascsubtag=11712201%7C%7C%7C%7C%7C%7Cpc&amp;th=1" TargetMode="External"/><Relationship Id="rId4" Type="http://schemas.openxmlformats.org/officeDocument/2006/relationships/hyperlink" Target="https://www.walmart.com/ip/Cord-Hider-Delamu-31-4-Cord-Cover-Large-PVC-Wire-Cable-Hider-for-Wall-Mounted-TV-White/634148719?wmlspartner=wlpa&amp;selectedSellerId=101073679&amp;selectedOfferId=91121EF9C4944C0AB4DFC75C86387EAF&amp;conditionGroupCode=1&amp;sourceid=dsn_gdn_0c92c416-dbd6-42ec-845c-ecf69af2153d&amp;veh=dsn&amp;wmlspartner=dsn_gdn_0c92c416-dbd6-42ec-845c-ecf69af2153d&amp;cn=0042_fy27_mp_mpa_lo_int_dis_pmax-p13n&amp;wl0=&amp;wl1=g&amp;wl2=c&amp;wl3=&amp;wl4=&amp;wl5=9027296&amp;wl6=&amp;wl7=&amp;wl8=&amp;wl9=pla&amp;wl10=479410972&amp;wl11=online&amp;wl12=91121EF9C4944C0AB4DFC75C86387EAF&amp;gclsrc=aw.ds&amp;gad_source=1&amp;gad_campaignid=23148469844&amp;gbraid=0AAAAADmfBIocJf8YW8QOBZcx1GCJBtAZ_&amp;gclid=Cj0KCQjw16_UBhCqARIsAIdOaXwzIyumOB5atjOeQw2Xh8G_UioBeGYJdg5EyqcjpcoJPx4KUp-OMOAaAkTXEALw_wcB" TargetMode="External"/><Relationship Id="rId9" Type="http://schemas.openxmlformats.org/officeDocument/2006/relationships/hyperlink" Target="https://www.walmart.com/ip/BLACK-GALLERY-OTD/14609716185" TargetMode="External"/><Relationship Id="rId5" Type="http://schemas.openxmlformats.org/officeDocument/2006/relationships/hyperlink" Target="https://www.amazon.com/Charger-Protector-QINLIANF-Extender-Charging/dp/B08R6T1M9T?tag=lifewire-paid-20&amp;ascsubtag=11712201%7C%7C%7C%7C%7C%7Cpc&amp;th=1" TargetMode="External"/><Relationship Id="rId6" Type="http://schemas.openxmlformats.org/officeDocument/2006/relationships/hyperlink" Target="https://www.walmart.com/ip/Cord-Hider-Delamu-31-4-Cord-Cover-Large-PVC-Wire-Cable-Hider-for-Wall-Mounted-TV-White/634148719?wmlspartner=wlpa&amp;selectedSellerId=101073679&amp;selectedOfferId=91121EF9C4944C0AB4DFC75C86387EAF&amp;conditionGroupCode=1&amp;sourceid=dsn_gdn_0c92c416-dbd6-42ec-845c-ecf69af2153d&amp;veh=dsn&amp;wmlspartner=dsn_gdn_0c92c416-dbd6-42ec-845c-ecf69af2153d&amp;cn=0042_fy27_mp_mpa_lo_int_dis_pmax-p13n&amp;wl0=&amp;wl1=g&amp;wl2=c&amp;wl3=&amp;wl4=&amp;wl5=9027296&amp;wl6=&amp;wl7=&amp;wl8=&amp;wl9=pla&amp;wl10=479410972&amp;wl11=online&amp;wl12=91121EF9C4944C0AB4DFC75C86387EAF&amp;gclsrc=aw.ds&amp;gad_source=1&amp;gad_campaignid=23148469844&amp;gbraid=0AAAAADmfBIocJf8YW8QOBZcx1GCJBtAZ_&amp;gclid=Cj0KCQjw16_UBhCqARIsAIdOaXwzIyumOB5atjOeQw2Xh8G_UioBeGYJdg5EyqcjpcoJPx4KUp-OMOAaAkTXEALw_wcB" TargetMode="External"/><Relationship Id="rId7" Type="http://schemas.openxmlformats.org/officeDocument/2006/relationships/hyperlink" Target="https://www.walmart.com/ip/HODYANN-Portable-Closet-Wardrobe-Closet-6-Storage-Shelves-2-Hanging-Rods-Non-Woven-Fabric-Cover-34-6-x-17-7-66-1-Inches-Organizer-Bedroom-Gray/17323303546?wmlspartner=wlpa&amp;selectedSellerId=101187780&amp;selectedOfferId=C1F8DDFDDAFC3693A8BA05058ECF2273&amp;conditionGroupCode=1&amp;gclsrc=aw.ds&amp;&amp;adid=22222222227C1F8DDFDDAFC3693A8BA05058ECF2273_200921946602_24153394724&amp;wl0=&amp;wl1=g&amp;wl2=c&amp;wl3=821367569901&amp;wl4=pla-2444379397870&amp;wl5=9027296&amp;wl6=&amp;wl7=&amp;wl8=&amp;wl9=pla&amp;wl10=765412572&amp;wl11=online&amp;wl12=C1F8DDFDDAFC3693A8BA05058ECF2273&amp;veh=sem&amp;gad_source=1&amp;gad_campaignid=24153394724&amp;gbraid=0AAAABDAnf96LmG27oLniUmN1PzXdM-VVX&amp;gclid=Cj0KCQjw16_UBhCqARIsAIdOaXwXmZCZiEOXfpMdTDTLO9yapxIU3gSpgzE4SeDU5rsB-y_Ir837mlQaAtYrEALw_wcB" TargetMode="External"/><Relationship Id="rId8" Type="http://schemas.openxmlformats.org/officeDocument/2006/relationships/hyperlink" Target="https://www.walmart.com/ip/HODYANN-Portable-Closet-Wardrobe-Closet-6-Storage-Shelves-2-Hanging-Rods-Non-Woven-Fabric-Cover-34-6-x-17-7-66-1-Inches-Organizer-Bedroom-Gray/17323303546?wmlspartner=wlpa&amp;selectedSellerId=101187780&amp;selectedOfferId=C1F8DDFDDAFC3693A8BA05058ECF2273&amp;conditionGroupCode=1&amp;gclsrc=aw.ds&amp;&amp;adid=22222222227C1F8DDFDDAFC3693A8BA05058ECF2273_200921946602_24153394724&amp;wl0=&amp;wl1=g&amp;wl2=c&amp;wl3=821367569901&amp;wl4=pla-2444379397870&amp;wl5=9027296&amp;wl6=&amp;wl7=&amp;wl8=&amp;wl9=pla&amp;wl10=765412572&amp;wl11=online&amp;wl12=C1F8DDFDDAFC3693A8BA05058ECF2273&amp;veh=sem&amp;gad_source=1&amp;gad_campaignid=24153394724&amp;gbraid=0AAAABDAnf96LmG27oLniUmN1PzXdM-VVX&amp;gclid=Cj0KCQjw16_UBhCqARIsAIdOaXwXmZCZiEOXfpMdTDTLO9yapxIU3gSpgzE4SeDU5rsB-y_Ir837mlQaAtYrEALw_wcB" TargetMode="External"/><Relationship Id="rId11" Type="http://schemas.openxmlformats.org/officeDocument/2006/relationships/hyperlink" Target="https://www.walmart.com/ip/SONGMICS-Luggage-Racks-Set-of-2-Suitcase-Stand-with-Fabric-Storage-Shelf-for-Guest-Room-Bedroom-Hotel-Foldable-Holds-up-to-110-lb-Black/3436867722?wmlspartner=wlpa&amp;selectedSellerId=101068213&amp;selectedOfferId=FC0881491E1846B79773F748FC0A4588&amp;conditionGroupCode=1&amp;adid=22222222227FC0881491E1846B79773F748FC0A4588_186603386549_23034149881&amp;wl0=&amp;wl1=g&amp;wl2=c&amp;wl3=779198807195&amp;wl4=pla-2444484496258&amp;wl5=9027296&amp;wl6=&amp;wl7=&amp;wl8=&amp;wl9=pla&amp;wl10=382394450&amp;wl11=online&amp;wl12=FC0881491E1846B79773F748FC0A4588&amp;veh=sem&amp;gad_source=1&amp;gad_campaignid=23034149881&amp;gbraid=0AAAABDAnf97NV0cpAnztr1FsIW9UtU5A_&amp;gclid=Cj0KCQjw16_UBhCqARIsAIdOaXx6s9XZXneJlIe9SjqKAG6UPg0sIfmxI_oQ-Omlojj-EeYr9mJb6B8aApjDEALw_wcB" TargetMode="External"/><Relationship Id="rId10" Type="http://schemas.openxmlformats.org/officeDocument/2006/relationships/hyperlink" Target="https://www.walmart.com/ip/BLACK-GALLERY-OTD/14609716185" TargetMode="External"/><Relationship Id="rId13" Type="http://schemas.openxmlformats.org/officeDocument/2006/relationships/hyperlink" Target="https://www.amazon.com/dp/B0BLYP6GTJ?ref_=ppx_hzsearch_conn_dt_b_fed_asin_title_1&amp;th=1" TargetMode="External"/><Relationship Id="rId12" Type="http://schemas.openxmlformats.org/officeDocument/2006/relationships/hyperlink" Target="https://www.walmart.com/ip/LED-Desk-Lamp-Dimmable-Desk-Light-Table-Lamp-Black/17707666750?classType=REGULAR&amp;from=/search" TargetMode="External"/><Relationship Id="rId15" Type="http://schemas.openxmlformats.org/officeDocument/2006/relationships/hyperlink" Target="https://www.amazon.com/dp/B01B87TMOS?asc_item-id=amzn1.ideas.1YW6WI7VZH3ZK&amp;th=1&amp;linkCode=ll1&amp;tag=new08e1-20&amp;linkId=0fc14dd32398a947f6b8cb734ec6a86a&amp;language=en_US&amp;ref_=as_li_ss_tl&amp;ascsubtag=srctok-293de660d98f7d5b&amp;btn_type=pt&amp;btn_ref=srctok-293de660d98f7d5b" TargetMode="External"/><Relationship Id="rId14" Type="http://schemas.openxmlformats.org/officeDocument/2006/relationships/hyperlink" Target="https://www.amazon.com/dp/B0010B5EQS?tag=thespruce-paid-20&amp;ascsubtag=4158902%7C%7C%7C%7C%7C%7Cpc&amp;th=1" TargetMode="External"/><Relationship Id="rId17" Type="http://schemas.openxmlformats.org/officeDocument/2006/relationships/hyperlink" Target="https://www.amazon.com/dp/B0CDLXVVVZ?ref_=ppx_hzsearch_conn_dt_b_fed_asin_title_1&amp;th=1" TargetMode="External"/><Relationship Id="rId16" Type="http://schemas.openxmlformats.org/officeDocument/2006/relationships/hyperlink" Target="https://www.amazon.com/Seville-Classics-Foldable-Handwoven-Hyacinth/dp/B00C78TRG6/ref=sr_1_9?crid=3EBTFPFWQ2OJL&amp;dib=eyJ2IjoiMSJ9.E6l5MrQuSj5ZuatcBQVuozQAB7QDUS2Xs2SLA-frIsMSuEp8cxRFciG9cOKwlhM-9zo2fINJWTMHSJHYSN9nBN3uz-4L7LA6Im-sIa0dFlcv6Tx56FYAV65HVlv_1OUaNJUf9gUpnC-wsIMriI4GonjQk-rhd-_FxSSn9Mzu-s5dbkR3svgWOyA9jPSdUxKHv9-mNmqkiIF4P2qLlHSwTrSVlCiDVosZjGWORI4C6pVrbkhgctlXqyDi09fpMz44YNPF4h2STRzBiZtWgnIRvfYbMCNLGiOYq2b_HdAPRK4.JeuZH5PNIKW6xL1BUdN01POcfDWiimWQsWVOvCiFS8k&amp;dib_tag=se&amp;keywords=wicker&amp;qid=1787614612&amp;sprefix=wicker%2Caps%2C194&amp;sr=8-9&amp;th=1" TargetMode="External"/><Relationship Id="rId19" Type="http://schemas.openxmlformats.org/officeDocument/2006/relationships/hyperlink" Target="https://www.amazon.com/Mattel-Card-Game-Skip-Phase/dp/B00IIINF08/ref=sr_1_1?crid=306E77WCF2WJH&amp;dib=eyJ2IjoiMSJ9.849zX0Y8aeCESqcEBaG5EjDOyMZ4zyC_VuSio-JnMoZFaLu72Fk3Mijz5J_blMvywuX-BMqdASve5x9LGXnXLwxxWQz198rxTgV8BO_Q_Y_6rEP-xHHfPQhSdcviV3VWGQXS9DxdpOywPW7QZuzyRqlT0PaDnJ06H4usKRA3bBxEYnmDOFyGKmbvBjYVs_gjht-SDSK_4TmAkKxw3fd7ldrVEwKNbq7MkDMvX1F6Ey0Oh5Sp62-H4rjQyBGSqmqrysrp2Z01wjWOSH7wRXcQml5CTw3Y9-I5_FHJzFMTnew.lJtBA1mUstr6z0yv_Gac-9UvSXAWnlniZro-ZRjYX5U&amp;dib_tag=se&amp;keywords=card+game+set%2C+uno&amp;qid=1787614463&amp;sprefix=card+game+set%2C+uno%2Caps%2C179&amp;sr=8-1" TargetMode="External"/><Relationship Id="rId18" Type="http://schemas.openxmlformats.org/officeDocument/2006/relationships/hyperlink" Target="https://www.amazon.com/dp/B0BPLFGJ3B?ref_=ppx_hzsearch_conn_dt_b_fed_asin_title_1&amp;th=1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4.0"/>
    <col customWidth="1" min="2" max="2" width="24.0"/>
    <col customWidth="1" min="3" max="3" width="3.0"/>
    <col customWidth="1" min="4" max="4" width="22.0"/>
    <col customWidth="1" min="5" max="7" width="15.0"/>
    <col customWidth="1" min="8" max="8" width="20.0"/>
    <col customWidth="1" min="9" max="26" width="8.63"/>
  </cols>
  <sheetData>
    <row r="1" ht="33.75" customHeight="1">
      <c r="A1" s="1" t="s">
        <v>0</v>
      </c>
    </row>
    <row r="3">
      <c r="A3" s="3" t="s">
        <v>3</v>
      </c>
      <c r="B3" s="3" t="s">
        <v>4</v>
      </c>
    </row>
    <row r="5" ht="27.75" customHeight="1">
      <c r="A5" s="4" t="s">
        <v>6</v>
      </c>
      <c r="B5" s="4" t="s">
        <v>10</v>
      </c>
      <c r="D5" s="4" t="s">
        <v>7</v>
      </c>
      <c r="E5" s="4" t="s">
        <v>14</v>
      </c>
      <c r="F5" s="4" t="s">
        <v>17</v>
      </c>
      <c r="G5" s="4" t="s">
        <v>19</v>
      </c>
      <c r="H5" s="4" t="s">
        <v>21</v>
      </c>
    </row>
    <row r="6">
      <c r="A6" s="6" t="s">
        <v>24</v>
      </c>
      <c r="B6" s="14">
        <f>COUNTA('Catalog Review'!$A$5:$A$114)</f>
        <v>110</v>
      </c>
      <c r="D6" s="8" t="s">
        <v>38</v>
      </c>
      <c r="E6" s="18">
        <f>SUMIF('Catalog Review'!$B$5:$B$114,D6,'Catalog Review'!$H$5:$H$114)</f>
        <v>1646.59</v>
      </c>
      <c r="F6" s="18">
        <v>2600.0</v>
      </c>
      <c r="G6" s="18">
        <v>3100.0</v>
      </c>
      <c r="H6" s="8" t="str">
        <f t="shared" ref="H6:H13" si="1">IF(E6=0,"Not yet sourced",IF(E6&lt;F6,"Below standard",IF(E6&gt;G6,"Over target","In range")))</f>
        <v>Below standard</v>
      </c>
    </row>
    <row r="7">
      <c r="A7" s="6" t="s">
        <v>79</v>
      </c>
      <c r="B7" s="22">
        <f>SUM('Catalog Review'!$H$5:$H$114)</f>
        <v>5745.23</v>
      </c>
      <c r="D7" s="17" t="s">
        <v>87</v>
      </c>
      <c r="E7" s="25">
        <f>SUMIF('Catalog Review'!$B$5:$B$114,D7,'Catalog Review'!$H$5:$H$114)</f>
        <v>2254.64</v>
      </c>
      <c r="F7" s="25">
        <v>3400.0</v>
      </c>
      <c r="G7" s="25">
        <v>4200.0</v>
      </c>
      <c r="H7" s="17" t="str">
        <f t="shared" si="1"/>
        <v>Below standard</v>
      </c>
    </row>
    <row r="8">
      <c r="A8" s="6" t="s">
        <v>93</v>
      </c>
      <c r="B8" s="14">
        <f>COUNTIF('Catalog Review'!$J$5:$J$114,"Replace retailer")+COUNTIF('Catalog Review'!$J$5:$J$114,"Replace specification")</f>
        <v>0</v>
      </c>
      <c r="D8" s="17" t="s">
        <v>78</v>
      </c>
      <c r="E8" s="25">
        <f>0</f>
        <v>0</v>
      </c>
      <c r="F8" s="25">
        <v>1000.0</v>
      </c>
      <c r="G8" s="25">
        <v>1300.0</v>
      </c>
      <c r="H8" s="17" t="str">
        <f t="shared" si="1"/>
        <v>Not yet sourced</v>
      </c>
    </row>
    <row r="9">
      <c r="A9" s="6" t="s">
        <v>97</v>
      </c>
      <c r="B9" s="14">
        <f>COUNTIF('Catalog Review'!$J$5:$J$114,"Incomplete")</f>
        <v>0</v>
      </c>
      <c r="D9" s="17" t="s">
        <v>82</v>
      </c>
      <c r="E9" s="25">
        <f>SUMIF('Catalog Review'!$B$5:$B$114,D9,'Catalog Review'!$H$5:$H$114)</f>
        <v>949.92</v>
      </c>
      <c r="F9" s="25">
        <v>900.0</v>
      </c>
      <c r="G9" s="25">
        <v>1150.0</v>
      </c>
      <c r="H9" s="17" t="str">
        <f t="shared" si="1"/>
        <v>In range</v>
      </c>
    </row>
    <row r="10">
      <c r="A10" s="6" t="s">
        <v>102</v>
      </c>
      <c r="B10" s="14">
        <f>COUNTIF('Gap Register'!$H$4:$H$17,"&lt;&gt;Approved")</f>
        <v>14</v>
      </c>
      <c r="D10" s="17" t="s">
        <v>85</v>
      </c>
      <c r="E10" s="25">
        <f>SUMIF('Catalog Review'!$B$5:$B$114,D10,'Catalog Review'!$H$5:$H$114)</f>
        <v>620.3</v>
      </c>
      <c r="F10" s="25">
        <v>600.0</v>
      </c>
      <c r="G10" s="25">
        <v>800.0</v>
      </c>
      <c r="H10" s="17" t="str">
        <f t="shared" si="1"/>
        <v>In range</v>
      </c>
    </row>
    <row r="11">
      <c r="D11" s="17" t="s">
        <v>90</v>
      </c>
      <c r="E11" s="25">
        <f t="shared" ref="E11:E13" si="2">0</f>
        <v>0</v>
      </c>
      <c r="F11" s="25">
        <v>400.0</v>
      </c>
      <c r="G11" s="25">
        <v>600.0</v>
      </c>
      <c r="H11" s="17" t="str">
        <f t="shared" si="1"/>
        <v>Not yet sourced</v>
      </c>
    </row>
    <row r="12">
      <c r="D12" s="17" t="s">
        <v>108</v>
      </c>
      <c r="E12" s="25">
        <f t="shared" si="2"/>
        <v>0</v>
      </c>
      <c r="F12" s="25">
        <v>400.0</v>
      </c>
      <c r="G12" s="25">
        <v>600.0</v>
      </c>
      <c r="H12" s="17" t="str">
        <f t="shared" si="1"/>
        <v>Not yet sourced</v>
      </c>
    </row>
    <row r="13">
      <c r="D13" s="26" t="s">
        <v>110</v>
      </c>
      <c r="E13" s="34">
        <f t="shared" si="2"/>
        <v>0</v>
      </c>
      <c r="F13" s="34">
        <v>700.0</v>
      </c>
      <c r="G13" s="34">
        <v>1000.0</v>
      </c>
      <c r="H13" s="26" t="str">
        <f t="shared" si="1"/>
        <v>Not yet sourced</v>
      </c>
    </row>
    <row r="15">
      <c r="A15" s="35" t="s">
        <v>113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5:H17"/>
  </mergeCells>
  <conditionalFormatting sqref="H6:H13">
    <cfRule type="containsText" dxfId="0" priority="1" operator="containsText" text="In range">
      <formula>NOT(ISERROR(SEARCH(("In range"),(H6))))</formula>
    </cfRule>
  </conditionalFormatting>
  <conditionalFormatting sqref="H6:H13">
    <cfRule type="containsText" dxfId="1" priority="2" operator="containsText" text="Not yet">
      <formula>NOT(ISERROR(SEARCH(("Not yet"),(H6))))</formula>
    </cfRule>
  </conditionalFormatting>
  <conditionalFormatting sqref="H6:H13">
    <cfRule type="containsText" dxfId="2" priority="3" operator="containsText" text="Below">
      <formula>NOT(ISERROR(SEARCH(("Below"),(H6))))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0"/>
    <col customWidth="1" min="2" max="2" width="18.0"/>
    <col customWidth="1" min="3" max="3" width="20.0"/>
    <col customWidth="1" min="4" max="4" width="34.0"/>
    <col customWidth="1" min="5" max="5" width="13.0"/>
    <col customWidth="1" min="6" max="6" width="9.0"/>
    <col customWidth="1" min="7" max="7" width="12.0"/>
    <col customWidth="1" min="8" max="8" width="14.0"/>
    <col customWidth="1" min="9" max="9" width="16.0"/>
    <col customWidth="1" min="10" max="11" width="20.0"/>
    <col customWidth="1" min="12" max="12" width="18.0"/>
    <col customWidth="1" min="13" max="14" width="42.0"/>
    <col customWidth="1" min="15" max="15" width="30.0"/>
    <col customWidth="1" min="16" max="16" width="22.0"/>
    <col customWidth="1" min="17" max="17" width="13.0"/>
    <col customWidth="1" min="18" max="18" width="10.0"/>
    <col customWidth="1" min="19" max="27" width="8.63"/>
  </cols>
  <sheetData>
    <row r="1" ht="33.75" customHeight="1">
      <c r="A1" s="1" t="s">
        <v>1</v>
      </c>
    </row>
    <row r="2">
      <c r="A2" s="2" t="s">
        <v>2</v>
      </c>
    </row>
    <row r="4" ht="27.75" customHeight="1">
      <c r="A4" s="4" t="s">
        <v>5</v>
      </c>
      <c r="B4" s="4" t="s">
        <v>7</v>
      </c>
      <c r="C4" s="4" t="s">
        <v>8</v>
      </c>
      <c r="D4" s="4" t="s">
        <v>9</v>
      </c>
      <c r="E4" s="4" t="s">
        <v>11</v>
      </c>
      <c r="F4" s="4" t="s">
        <v>12</v>
      </c>
      <c r="G4" s="4" t="s">
        <v>13</v>
      </c>
      <c r="H4" s="4" t="s">
        <v>15</v>
      </c>
      <c r="I4" s="4" t="s">
        <v>16</v>
      </c>
      <c r="J4" s="4" t="s">
        <v>18</v>
      </c>
      <c r="K4" s="4" t="s">
        <v>20</v>
      </c>
      <c r="L4" s="4" t="s">
        <v>22</v>
      </c>
      <c r="M4" s="5" t="s">
        <v>23</v>
      </c>
      <c r="N4" s="4" t="s">
        <v>25</v>
      </c>
      <c r="O4" s="4" t="s">
        <v>28</v>
      </c>
      <c r="P4" s="4" t="s">
        <v>30</v>
      </c>
      <c r="Q4" s="4" t="s">
        <v>31</v>
      </c>
      <c r="R4" s="4" t="s">
        <v>32</v>
      </c>
    </row>
    <row r="5">
      <c r="A5" s="8" t="s">
        <v>35</v>
      </c>
      <c r="B5" s="8" t="s">
        <v>38</v>
      </c>
      <c r="C5" s="8" t="s">
        <v>39</v>
      </c>
      <c r="D5" s="9" t="s">
        <v>41</v>
      </c>
      <c r="E5" s="9" t="s">
        <v>44</v>
      </c>
      <c r="F5" s="11">
        <v>1.0</v>
      </c>
      <c r="G5" s="13">
        <v>139.99</v>
      </c>
      <c r="H5" s="19">
        <f t="shared" ref="H5:H17" si="1">IF(OR(F5="",G5=""),0,F5*G5)</f>
        <v>139.99</v>
      </c>
      <c r="I5" s="8" t="s">
        <v>59</v>
      </c>
      <c r="J5" s="8" t="s">
        <v>60</v>
      </c>
      <c r="K5" s="9" t="s">
        <v>64</v>
      </c>
      <c r="L5" s="8" t="s">
        <v>66</v>
      </c>
      <c r="M5" s="21" t="s">
        <v>71</v>
      </c>
      <c r="N5" s="28" t="s">
        <v>75</v>
      </c>
      <c r="O5" s="8"/>
      <c r="P5" s="8" t="s">
        <v>98</v>
      </c>
      <c r="Q5" s="29"/>
      <c r="R5" s="8">
        <v>5.0</v>
      </c>
    </row>
    <row r="6">
      <c r="A6" s="17" t="s">
        <v>99</v>
      </c>
      <c r="B6" s="17" t="s">
        <v>38</v>
      </c>
      <c r="C6" s="17" t="s">
        <v>100</v>
      </c>
      <c r="D6" s="17" t="s">
        <v>101</v>
      </c>
      <c r="E6" s="17" t="s">
        <v>44</v>
      </c>
      <c r="F6" s="30">
        <v>1.0</v>
      </c>
      <c r="G6" s="31">
        <v>148.94</v>
      </c>
      <c r="H6" s="31">
        <f t="shared" si="1"/>
        <v>148.94</v>
      </c>
      <c r="I6" s="17" t="s">
        <v>59</v>
      </c>
      <c r="J6" s="17" t="s">
        <v>60</v>
      </c>
      <c r="K6" s="9" t="s">
        <v>64</v>
      </c>
      <c r="L6" s="17" t="s">
        <v>66</v>
      </c>
      <c r="M6" s="21" t="s">
        <v>71</v>
      </c>
      <c r="N6" s="17" t="s">
        <v>103</v>
      </c>
      <c r="O6" s="17"/>
      <c r="P6" s="17" t="s">
        <v>98</v>
      </c>
      <c r="Q6" s="32"/>
      <c r="R6" s="17">
        <v>6.0</v>
      </c>
    </row>
    <row r="7">
      <c r="A7" s="17" t="s">
        <v>104</v>
      </c>
      <c r="B7" s="20" t="s">
        <v>78</v>
      </c>
      <c r="C7" s="17" t="s">
        <v>39</v>
      </c>
      <c r="D7" s="17" t="s">
        <v>105</v>
      </c>
      <c r="E7" s="20" t="s">
        <v>106</v>
      </c>
      <c r="F7" s="30">
        <v>1.0</v>
      </c>
      <c r="G7" s="33">
        <v>181.99</v>
      </c>
      <c r="H7" s="31">
        <f t="shared" si="1"/>
        <v>181.99</v>
      </c>
      <c r="I7" s="17" t="s">
        <v>51</v>
      </c>
      <c r="J7" s="20" t="s">
        <v>60</v>
      </c>
      <c r="K7" s="9" t="s">
        <v>64</v>
      </c>
      <c r="L7" s="17" t="s">
        <v>66</v>
      </c>
      <c r="M7" s="21" t="s">
        <v>71</v>
      </c>
      <c r="N7" s="36" t="s">
        <v>111</v>
      </c>
      <c r="O7" s="17"/>
      <c r="P7" s="17" t="s">
        <v>98</v>
      </c>
      <c r="Q7" s="32"/>
      <c r="R7" s="17">
        <v>7.0</v>
      </c>
    </row>
    <row r="8">
      <c r="A8" s="17" t="s">
        <v>117</v>
      </c>
      <c r="B8" s="17" t="s">
        <v>38</v>
      </c>
      <c r="C8" s="17" t="s">
        <v>100</v>
      </c>
      <c r="D8" s="17" t="s">
        <v>118</v>
      </c>
      <c r="E8" s="17" t="s">
        <v>119</v>
      </c>
      <c r="F8" s="30">
        <v>1.0</v>
      </c>
      <c r="G8" s="31">
        <v>150.0</v>
      </c>
      <c r="H8" s="31">
        <f t="shared" si="1"/>
        <v>150</v>
      </c>
      <c r="I8" s="17" t="s">
        <v>59</v>
      </c>
      <c r="J8" s="17" t="s">
        <v>60</v>
      </c>
      <c r="K8" s="9" t="s">
        <v>64</v>
      </c>
      <c r="L8" s="17" t="s">
        <v>66</v>
      </c>
      <c r="M8" s="21" t="s">
        <v>121</v>
      </c>
      <c r="N8" s="17" t="s">
        <v>123</v>
      </c>
      <c r="O8" s="17"/>
      <c r="P8" s="17" t="s">
        <v>98</v>
      </c>
      <c r="Q8" s="32"/>
      <c r="R8" s="17">
        <v>8.0</v>
      </c>
    </row>
    <row r="9">
      <c r="A9" s="17" t="s">
        <v>125</v>
      </c>
      <c r="B9" s="17" t="s">
        <v>38</v>
      </c>
      <c r="C9" s="17" t="s">
        <v>100</v>
      </c>
      <c r="D9" s="17" t="s">
        <v>126</v>
      </c>
      <c r="E9" s="17" t="s">
        <v>119</v>
      </c>
      <c r="F9" s="30">
        <v>1.0</v>
      </c>
      <c r="G9" s="31">
        <v>265.35</v>
      </c>
      <c r="H9" s="31">
        <f t="shared" si="1"/>
        <v>265.35</v>
      </c>
      <c r="I9" s="17" t="s">
        <v>59</v>
      </c>
      <c r="J9" s="17" t="s">
        <v>60</v>
      </c>
      <c r="K9" s="9" t="s">
        <v>64</v>
      </c>
      <c r="L9" s="17" t="s">
        <v>66</v>
      </c>
      <c r="M9" s="21" t="s">
        <v>121</v>
      </c>
      <c r="N9" s="17" t="s">
        <v>127</v>
      </c>
      <c r="O9" s="17"/>
      <c r="P9" s="17" t="s">
        <v>98</v>
      </c>
      <c r="Q9" s="32"/>
      <c r="R9" s="17">
        <v>9.0</v>
      </c>
    </row>
    <row r="10">
      <c r="A10" s="17" t="s">
        <v>128</v>
      </c>
      <c r="B10" s="17" t="s">
        <v>38</v>
      </c>
      <c r="C10" s="17" t="s">
        <v>100</v>
      </c>
      <c r="D10" s="17" t="s">
        <v>129</v>
      </c>
      <c r="E10" s="20" t="s">
        <v>44</v>
      </c>
      <c r="F10" s="37">
        <v>1.0</v>
      </c>
      <c r="G10" s="33">
        <v>25.26</v>
      </c>
      <c r="H10" s="31">
        <f t="shared" si="1"/>
        <v>25.26</v>
      </c>
      <c r="I10" s="17" t="s">
        <v>51</v>
      </c>
      <c r="J10" s="20" t="s">
        <v>60</v>
      </c>
      <c r="K10" s="9" t="s">
        <v>64</v>
      </c>
      <c r="L10" s="17" t="s">
        <v>66</v>
      </c>
      <c r="M10" s="21" t="s">
        <v>121</v>
      </c>
      <c r="N10" s="17" t="s">
        <v>130</v>
      </c>
      <c r="O10" s="17"/>
      <c r="P10" s="17" t="s">
        <v>98</v>
      </c>
      <c r="Q10" s="32"/>
      <c r="R10" s="17">
        <v>10.0</v>
      </c>
    </row>
    <row r="11">
      <c r="A11" s="17" t="s">
        <v>131</v>
      </c>
      <c r="B11" s="17" t="s">
        <v>38</v>
      </c>
      <c r="C11" s="17" t="s">
        <v>100</v>
      </c>
      <c r="D11" s="20" t="s">
        <v>132</v>
      </c>
      <c r="E11" s="17" t="s">
        <v>44</v>
      </c>
      <c r="F11" s="30">
        <v>1.0</v>
      </c>
      <c r="G11" s="33">
        <v>198.0</v>
      </c>
      <c r="H11" s="31">
        <f t="shared" si="1"/>
        <v>198</v>
      </c>
      <c r="I11" s="17" t="s">
        <v>51</v>
      </c>
      <c r="J11" s="20" t="s">
        <v>60</v>
      </c>
      <c r="K11" s="9" t="s">
        <v>64</v>
      </c>
      <c r="L11" s="17" t="s">
        <v>66</v>
      </c>
      <c r="M11" s="21" t="s">
        <v>71</v>
      </c>
      <c r="N11" s="36" t="s">
        <v>133</v>
      </c>
      <c r="O11" s="17"/>
      <c r="P11" s="17" t="s">
        <v>98</v>
      </c>
      <c r="Q11" s="32"/>
      <c r="R11" s="17">
        <v>12.0</v>
      </c>
    </row>
    <row r="12">
      <c r="A12" s="17" t="s">
        <v>134</v>
      </c>
      <c r="B12" s="17" t="s">
        <v>38</v>
      </c>
      <c r="C12" s="17" t="s">
        <v>135</v>
      </c>
      <c r="D12" s="17" t="s">
        <v>136</v>
      </c>
      <c r="E12" s="17" t="s">
        <v>44</v>
      </c>
      <c r="F12" s="30">
        <v>1.0</v>
      </c>
      <c r="G12" s="31">
        <v>15.0</v>
      </c>
      <c r="H12" s="31">
        <f t="shared" si="1"/>
        <v>15</v>
      </c>
      <c r="I12" s="17" t="s">
        <v>138</v>
      </c>
      <c r="J12" s="17" t="s">
        <v>60</v>
      </c>
      <c r="K12" s="9" t="s">
        <v>64</v>
      </c>
      <c r="L12" s="17" t="s">
        <v>66</v>
      </c>
      <c r="M12" s="21" t="s">
        <v>121</v>
      </c>
      <c r="N12" s="17" t="s">
        <v>139</v>
      </c>
      <c r="O12" s="17"/>
      <c r="P12" s="17" t="s">
        <v>98</v>
      </c>
      <c r="Q12" s="32"/>
      <c r="R12" s="17">
        <v>13.0</v>
      </c>
    </row>
    <row r="13">
      <c r="A13" s="17" t="s">
        <v>142</v>
      </c>
      <c r="B13" s="17" t="s">
        <v>38</v>
      </c>
      <c r="C13" s="17" t="s">
        <v>39</v>
      </c>
      <c r="D13" s="17" t="s">
        <v>144</v>
      </c>
      <c r="E13" s="17" t="s">
        <v>44</v>
      </c>
      <c r="F13" s="30">
        <v>1.0</v>
      </c>
      <c r="G13" s="33">
        <v>259.69</v>
      </c>
      <c r="H13" s="31">
        <f t="shared" si="1"/>
        <v>259.69</v>
      </c>
      <c r="I13" s="17" t="s">
        <v>51</v>
      </c>
      <c r="J13" s="20" t="s">
        <v>60</v>
      </c>
      <c r="K13" s="9" t="s">
        <v>64</v>
      </c>
      <c r="L13" s="17" t="s">
        <v>66</v>
      </c>
      <c r="M13" s="21" t="s">
        <v>71</v>
      </c>
      <c r="N13" s="36" t="s">
        <v>145</v>
      </c>
      <c r="O13" s="17"/>
      <c r="P13" s="17" t="s">
        <v>98</v>
      </c>
      <c r="Q13" s="32"/>
      <c r="R13" s="17">
        <v>14.0</v>
      </c>
    </row>
    <row r="14">
      <c r="A14" s="17" t="s">
        <v>150</v>
      </c>
      <c r="B14" s="17" t="s">
        <v>38</v>
      </c>
      <c r="C14" s="17" t="s">
        <v>151</v>
      </c>
      <c r="D14" s="17" t="s">
        <v>152</v>
      </c>
      <c r="E14" s="17" t="s">
        <v>44</v>
      </c>
      <c r="F14" s="30">
        <v>1.0</v>
      </c>
      <c r="G14" s="33">
        <v>50.39</v>
      </c>
      <c r="H14" s="31">
        <f t="shared" si="1"/>
        <v>50.39</v>
      </c>
      <c r="I14" s="17" t="s">
        <v>59</v>
      </c>
      <c r="J14" s="17" t="s">
        <v>60</v>
      </c>
      <c r="K14" s="9" t="s">
        <v>64</v>
      </c>
      <c r="L14" s="17" t="s">
        <v>66</v>
      </c>
      <c r="M14" s="21" t="s">
        <v>121</v>
      </c>
      <c r="N14" s="36" t="s">
        <v>154</v>
      </c>
      <c r="O14" s="17"/>
      <c r="P14" s="17" t="s">
        <v>98</v>
      </c>
      <c r="Q14" s="32"/>
      <c r="R14" s="17">
        <v>15.0</v>
      </c>
    </row>
    <row r="15">
      <c r="A15" s="17" t="s">
        <v>188</v>
      </c>
      <c r="B15" s="17" t="s">
        <v>38</v>
      </c>
      <c r="C15" s="17" t="s">
        <v>189</v>
      </c>
      <c r="D15" s="17" t="s">
        <v>190</v>
      </c>
      <c r="E15" s="17" t="s">
        <v>44</v>
      </c>
      <c r="F15" s="30">
        <v>1.0</v>
      </c>
      <c r="G15" s="33">
        <v>30.99</v>
      </c>
      <c r="H15" s="31">
        <f t="shared" si="1"/>
        <v>30.99</v>
      </c>
      <c r="I15" s="17" t="s">
        <v>138</v>
      </c>
      <c r="J15" s="17" t="s">
        <v>60</v>
      </c>
      <c r="K15" s="9" t="s">
        <v>64</v>
      </c>
      <c r="L15" s="17" t="s">
        <v>66</v>
      </c>
      <c r="M15" s="21" t="s">
        <v>121</v>
      </c>
      <c r="N15" s="36" t="s">
        <v>191</v>
      </c>
      <c r="O15" s="17"/>
      <c r="P15" s="17" t="s">
        <v>98</v>
      </c>
      <c r="Q15" s="32"/>
      <c r="R15" s="17">
        <v>16.0</v>
      </c>
    </row>
    <row r="16">
      <c r="A16" s="17" t="s">
        <v>198</v>
      </c>
      <c r="B16" s="17" t="s">
        <v>38</v>
      </c>
      <c r="C16" s="17" t="s">
        <v>135</v>
      </c>
      <c r="D16" s="20" t="s">
        <v>199</v>
      </c>
      <c r="E16" s="17" t="s">
        <v>119</v>
      </c>
      <c r="F16" s="30">
        <v>1.0</v>
      </c>
      <c r="G16" s="33">
        <v>89.0</v>
      </c>
      <c r="H16" s="31">
        <f t="shared" si="1"/>
        <v>89</v>
      </c>
      <c r="I16" s="17" t="s">
        <v>138</v>
      </c>
      <c r="J16" s="17" t="s">
        <v>60</v>
      </c>
      <c r="K16" s="9" t="s">
        <v>64</v>
      </c>
      <c r="L16" s="17" t="s">
        <v>66</v>
      </c>
      <c r="M16" s="21" t="s">
        <v>121</v>
      </c>
      <c r="N16" s="36" t="s">
        <v>200</v>
      </c>
      <c r="O16" s="17"/>
      <c r="P16" s="17" t="s">
        <v>98</v>
      </c>
      <c r="Q16" s="32"/>
      <c r="R16" s="17">
        <v>17.0</v>
      </c>
    </row>
    <row r="17">
      <c r="A17" s="17" t="s">
        <v>201</v>
      </c>
      <c r="B17" s="17" t="s">
        <v>38</v>
      </c>
      <c r="C17" s="17" t="s">
        <v>189</v>
      </c>
      <c r="D17" s="17" t="s">
        <v>202</v>
      </c>
      <c r="E17" s="17" t="s">
        <v>106</v>
      </c>
      <c r="F17" s="30">
        <v>1.0</v>
      </c>
      <c r="G17" s="33">
        <v>64.99</v>
      </c>
      <c r="H17" s="31">
        <f t="shared" si="1"/>
        <v>64.99</v>
      </c>
      <c r="I17" s="17" t="s">
        <v>138</v>
      </c>
      <c r="J17" s="17" t="s">
        <v>60</v>
      </c>
      <c r="K17" s="9" t="s">
        <v>64</v>
      </c>
      <c r="L17" s="17" t="s">
        <v>66</v>
      </c>
      <c r="M17" s="21" t="s">
        <v>121</v>
      </c>
      <c r="N17" s="36" t="s">
        <v>203</v>
      </c>
      <c r="O17" s="17"/>
      <c r="P17" s="17" t="s">
        <v>98</v>
      </c>
      <c r="Q17" s="32"/>
      <c r="R17" s="17">
        <v>18.0</v>
      </c>
    </row>
    <row r="18">
      <c r="A18" s="17" t="s">
        <v>208</v>
      </c>
      <c r="B18" s="17" t="s">
        <v>38</v>
      </c>
      <c r="C18" s="17" t="s">
        <v>189</v>
      </c>
      <c r="D18" s="17" t="s">
        <v>210</v>
      </c>
      <c r="E18" s="20" t="s">
        <v>119</v>
      </c>
      <c r="F18" s="37">
        <v>1.0</v>
      </c>
      <c r="G18" s="33">
        <v>26.99</v>
      </c>
      <c r="H18" s="33">
        <v>26.99</v>
      </c>
      <c r="I18" s="17" t="s">
        <v>138</v>
      </c>
      <c r="J18" s="20" t="s">
        <v>60</v>
      </c>
      <c r="K18" s="9" t="s">
        <v>64</v>
      </c>
      <c r="L18" s="17" t="s">
        <v>66</v>
      </c>
      <c r="M18" s="21" t="s">
        <v>121</v>
      </c>
      <c r="N18" s="36" t="s">
        <v>214</v>
      </c>
      <c r="O18" s="17"/>
      <c r="P18" s="17" t="s">
        <v>98</v>
      </c>
      <c r="Q18" s="32"/>
      <c r="R18" s="17">
        <v>19.0</v>
      </c>
    </row>
    <row r="19">
      <c r="A19" s="17" t="s">
        <v>227</v>
      </c>
      <c r="B19" s="17" t="s">
        <v>38</v>
      </c>
      <c r="C19" s="17" t="s">
        <v>39</v>
      </c>
      <c r="D19" s="17" t="s">
        <v>228</v>
      </c>
      <c r="E19" s="17" t="s">
        <v>44</v>
      </c>
      <c r="F19" s="30">
        <v>1.0</v>
      </c>
      <c r="G19" s="31">
        <v>182.0</v>
      </c>
      <c r="H19" s="31">
        <f t="shared" ref="H19:H114" si="2">IF(OR(F19="",G19=""),0,F19*G19)</f>
        <v>182</v>
      </c>
      <c r="I19" s="17" t="s">
        <v>59</v>
      </c>
      <c r="J19" s="17" t="s">
        <v>60</v>
      </c>
      <c r="K19" s="9" t="s">
        <v>64</v>
      </c>
      <c r="L19" s="17" t="s">
        <v>66</v>
      </c>
      <c r="M19" s="21" t="s">
        <v>71</v>
      </c>
      <c r="N19" s="17" t="s">
        <v>237</v>
      </c>
      <c r="O19" s="17"/>
      <c r="P19" s="17" t="s">
        <v>98</v>
      </c>
      <c r="Q19" s="32"/>
      <c r="R19" s="17">
        <v>20.0</v>
      </c>
    </row>
    <row r="20" ht="15.75" customHeight="1">
      <c r="A20" s="17" t="s">
        <v>238</v>
      </c>
      <c r="B20" s="17" t="s">
        <v>87</v>
      </c>
      <c r="C20" s="17" t="s">
        <v>39</v>
      </c>
      <c r="D20" s="17" t="s">
        <v>239</v>
      </c>
      <c r="E20" s="17" t="s">
        <v>119</v>
      </c>
      <c r="F20" s="30">
        <v>2.0</v>
      </c>
      <c r="G20" s="31">
        <v>154.64</v>
      </c>
      <c r="H20" s="31">
        <f t="shared" si="2"/>
        <v>309.28</v>
      </c>
      <c r="I20" s="17" t="s">
        <v>51</v>
      </c>
      <c r="J20" s="17" t="s">
        <v>60</v>
      </c>
      <c r="K20" s="9" t="s">
        <v>64</v>
      </c>
      <c r="L20" s="17" t="s">
        <v>66</v>
      </c>
      <c r="M20" s="21" t="s">
        <v>71</v>
      </c>
      <c r="N20" s="17" t="s">
        <v>240</v>
      </c>
      <c r="O20" s="17"/>
      <c r="P20" s="17" t="s">
        <v>98</v>
      </c>
      <c r="Q20" s="32"/>
      <c r="R20" s="17">
        <v>23.0</v>
      </c>
    </row>
    <row r="21" ht="15.75" customHeight="1">
      <c r="A21" s="17" t="s">
        <v>245</v>
      </c>
      <c r="B21" s="17" t="s">
        <v>87</v>
      </c>
      <c r="C21" s="17" t="s">
        <v>246</v>
      </c>
      <c r="D21" s="17" t="s">
        <v>241</v>
      </c>
      <c r="E21" s="17" t="s">
        <v>119</v>
      </c>
      <c r="F21" s="30">
        <v>2.0</v>
      </c>
      <c r="G21" s="31">
        <v>180.0</v>
      </c>
      <c r="H21" s="31">
        <f t="shared" si="2"/>
        <v>360</v>
      </c>
      <c r="I21" s="17" t="s">
        <v>59</v>
      </c>
      <c r="J21" s="17" t="s">
        <v>60</v>
      </c>
      <c r="K21" s="9" t="s">
        <v>64</v>
      </c>
      <c r="L21" s="17" t="s">
        <v>66</v>
      </c>
      <c r="M21" s="21" t="s">
        <v>71</v>
      </c>
      <c r="N21" s="17" t="s">
        <v>242</v>
      </c>
      <c r="O21" s="17"/>
      <c r="P21" s="17" t="s">
        <v>98</v>
      </c>
      <c r="Q21" s="32"/>
      <c r="R21" s="17">
        <v>24.0</v>
      </c>
    </row>
    <row r="22" ht="15.75" customHeight="1">
      <c r="A22" s="17" t="s">
        <v>250</v>
      </c>
      <c r="B22" s="17" t="s">
        <v>87</v>
      </c>
      <c r="C22" s="17" t="s">
        <v>100</v>
      </c>
      <c r="D22" s="20" t="s">
        <v>132</v>
      </c>
      <c r="E22" s="17" t="s">
        <v>44</v>
      </c>
      <c r="F22" s="30">
        <v>2.0</v>
      </c>
      <c r="G22" s="33">
        <v>198.0</v>
      </c>
      <c r="H22" s="31">
        <f t="shared" si="2"/>
        <v>396</v>
      </c>
      <c r="I22" s="17" t="s">
        <v>51</v>
      </c>
      <c r="J22" s="20" t="s">
        <v>60</v>
      </c>
      <c r="K22" s="9" t="s">
        <v>64</v>
      </c>
      <c r="L22" s="17" t="s">
        <v>66</v>
      </c>
      <c r="M22" s="21" t="s">
        <v>71</v>
      </c>
      <c r="N22" s="36" t="s">
        <v>133</v>
      </c>
      <c r="O22" s="17"/>
      <c r="P22" s="17" t="s">
        <v>98</v>
      </c>
      <c r="Q22" s="32"/>
      <c r="R22" s="17">
        <v>25.0</v>
      </c>
    </row>
    <row r="23" ht="15.75" customHeight="1">
      <c r="A23" s="17" t="s">
        <v>263</v>
      </c>
      <c r="B23" s="17" t="s">
        <v>87</v>
      </c>
      <c r="C23" s="17" t="s">
        <v>100</v>
      </c>
      <c r="D23" s="17" t="s">
        <v>129</v>
      </c>
      <c r="E23" s="17" t="s">
        <v>44</v>
      </c>
      <c r="F23" s="30">
        <v>2.0</v>
      </c>
      <c r="G23" s="31">
        <v>25.26</v>
      </c>
      <c r="H23" s="31">
        <f t="shared" si="2"/>
        <v>50.52</v>
      </c>
      <c r="I23" s="17" t="s">
        <v>51</v>
      </c>
      <c r="J23" s="17" t="s">
        <v>60</v>
      </c>
      <c r="K23" s="9" t="s">
        <v>64</v>
      </c>
      <c r="L23" s="17" t="s">
        <v>66</v>
      </c>
      <c r="M23" s="21" t="s">
        <v>121</v>
      </c>
      <c r="N23" s="17" t="s">
        <v>130</v>
      </c>
      <c r="O23" s="17"/>
      <c r="P23" s="17" t="s">
        <v>98</v>
      </c>
      <c r="Q23" s="32"/>
      <c r="R23" s="17">
        <v>26.0</v>
      </c>
    </row>
    <row r="24" ht="15.75" customHeight="1">
      <c r="A24" s="17" t="s">
        <v>275</v>
      </c>
      <c r="B24" s="17" t="s">
        <v>87</v>
      </c>
      <c r="C24" s="17" t="s">
        <v>39</v>
      </c>
      <c r="D24" s="17" t="s">
        <v>252</v>
      </c>
      <c r="E24" s="17" t="s">
        <v>44</v>
      </c>
      <c r="F24" s="30">
        <v>2.0</v>
      </c>
      <c r="G24" s="33">
        <v>104.0</v>
      </c>
      <c r="H24" s="31">
        <f t="shared" si="2"/>
        <v>208</v>
      </c>
      <c r="I24" s="17" t="s">
        <v>59</v>
      </c>
      <c r="J24" s="17" t="s">
        <v>60</v>
      </c>
      <c r="K24" s="9" t="s">
        <v>64</v>
      </c>
      <c r="L24" s="17" t="s">
        <v>66</v>
      </c>
      <c r="M24" s="21" t="s">
        <v>71</v>
      </c>
      <c r="N24" s="36" t="s">
        <v>285</v>
      </c>
      <c r="O24" s="17"/>
      <c r="P24" s="17" t="s">
        <v>98</v>
      </c>
      <c r="Q24" s="32"/>
      <c r="R24" s="17">
        <v>27.0</v>
      </c>
    </row>
    <row r="25" ht="15.75" customHeight="1">
      <c r="A25" s="17" t="s">
        <v>306</v>
      </c>
      <c r="B25" s="17" t="s">
        <v>87</v>
      </c>
      <c r="C25" s="17" t="s">
        <v>39</v>
      </c>
      <c r="D25" s="17" t="s">
        <v>256</v>
      </c>
      <c r="E25" s="17" t="s">
        <v>179</v>
      </c>
      <c r="F25" s="30">
        <v>2.0</v>
      </c>
      <c r="G25" s="33">
        <v>26.59</v>
      </c>
      <c r="H25" s="31">
        <f t="shared" si="2"/>
        <v>53.18</v>
      </c>
      <c r="I25" s="17" t="s">
        <v>59</v>
      </c>
      <c r="J25" s="20" t="s">
        <v>60</v>
      </c>
      <c r="K25" s="9" t="s">
        <v>64</v>
      </c>
      <c r="L25" s="17" t="s">
        <v>66</v>
      </c>
      <c r="M25" s="21" t="s">
        <v>121</v>
      </c>
      <c r="N25" s="36" t="s">
        <v>312</v>
      </c>
      <c r="O25" s="17"/>
      <c r="P25" s="17" t="s">
        <v>98</v>
      </c>
      <c r="Q25" s="32"/>
      <c r="R25" s="17">
        <v>28.0</v>
      </c>
    </row>
    <row r="26" ht="15.75" customHeight="1">
      <c r="A26" s="17" t="s">
        <v>342</v>
      </c>
      <c r="B26" s="17" t="s">
        <v>87</v>
      </c>
      <c r="C26" s="17" t="s">
        <v>135</v>
      </c>
      <c r="D26" s="17" t="s">
        <v>261</v>
      </c>
      <c r="E26" s="17" t="s">
        <v>119</v>
      </c>
      <c r="F26" s="30">
        <v>2.0</v>
      </c>
      <c r="G26" s="31">
        <v>27.54</v>
      </c>
      <c r="H26" s="31">
        <f t="shared" si="2"/>
        <v>55.08</v>
      </c>
      <c r="I26" s="17" t="s">
        <v>59</v>
      </c>
      <c r="J26" s="17" t="s">
        <v>60</v>
      </c>
      <c r="K26" s="9" t="s">
        <v>64</v>
      </c>
      <c r="L26" s="17" t="s">
        <v>66</v>
      </c>
      <c r="M26" s="21" t="s">
        <v>121</v>
      </c>
      <c r="N26" s="17" t="s">
        <v>262</v>
      </c>
      <c r="O26" s="17"/>
      <c r="P26" s="17" t="s">
        <v>98</v>
      </c>
      <c r="Q26" s="32"/>
      <c r="R26" s="17">
        <v>29.0</v>
      </c>
    </row>
    <row r="27" ht="15.75" customHeight="1">
      <c r="A27" s="17" t="s">
        <v>343</v>
      </c>
      <c r="B27" s="17" t="s">
        <v>87</v>
      </c>
      <c r="C27" s="17" t="s">
        <v>246</v>
      </c>
      <c r="D27" s="17" t="s">
        <v>266</v>
      </c>
      <c r="E27" s="17" t="s">
        <v>119</v>
      </c>
      <c r="F27" s="30">
        <v>2.0</v>
      </c>
      <c r="G27" s="31">
        <v>28.99</v>
      </c>
      <c r="H27" s="31">
        <f t="shared" si="2"/>
        <v>57.98</v>
      </c>
      <c r="I27" s="17" t="s">
        <v>59</v>
      </c>
      <c r="J27" s="17" t="s">
        <v>60</v>
      </c>
      <c r="K27" s="9" t="s">
        <v>64</v>
      </c>
      <c r="L27" s="17" t="s">
        <v>66</v>
      </c>
      <c r="M27" s="21" t="s">
        <v>121</v>
      </c>
      <c r="N27" s="17" t="s">
        <v>267</v>
      </c>
      <c r="O27" s="17"/>
      <c r="P27" s="17" t="s">
        <v>98</v>
      </c>
      <c r="Q27" s="32"/>
      <c r="R27" s="17">
        <v>30.0</v>
      </c>
    </row>
    <row r="28" ht="15.75" customHeight="1">
      <c r="A28" s="17" t="s">
        <v>344</v>
      </c>
      <c r="B28" s="17" t="s">
        <v>87</v>
      </c>
      <c r="C28" s="17" t="s">
        <v>135</v>
      </c>
      <c r="D28" s="17" t="s">
        <v>271</v>
      </c>
      <c r="E28" s="17" t="s">
        <v>119</v>
      </c>
      <c r="F28" s="30">
        <v>2.0</v>
      </c>
      <c r="G28" s="31">
        <v>14.97</v>
      </c>
      <c r="H28" s="31">
        <f t="shared" si="2"/>
        <v>29.94</v>
      </c>
      <c r="I28" s="17" t="s">
        <v>59</v>
      </c>
      <c r="J28" s="17" t="s">
        <v>60</v>
      </c>
      <c r="K28" s="9" t="s">
        <v>64</v>
      </c>
      <c r="L28" s="17" t="s">
        <v>66</v>
      </c>
      <c r="M28" s="21" t="s">
        <v>121</v>
      </c>
      <c r="N28" s="17" t="s">
        <v>273</v>
      </c>
      <c r="O28" s="17"/>
      <c r="P28" s="17" t="s">
        <v>98</v>
      </c>
      <c r="Q28" s="32"/>
      <c r="R28" s="17">
        <v>31.0</v>
      </c>
    </row>
    <row r="29" ht="15.75" customHeight="1">
      <c r="A29" s="17" t="s">
        <v>345</v>
      </c>
      <c r="B29" s="17" t="s">
        <v>87</v>
      </c>
      <c r="C29" s="17" t="s">
        <v>135</v>
      </c>
      <c r="D29" s="17" t="s">
        <v>276</v>
      </c>
      <c r="E29" s="17" t="s">
        <v>119</v>
      </c>
      <c r="F29" s="30">
        <v>2.0</v>
      </c>
      <c r="G29" s="31">
        <v>29.44</v>
      </c>
      <c r="H29" s="31">
        <f t="shared" si="2"/>
        <v>58.88</v>
      </c>
      <c r="I29" s="17" t="s">
        <v>138</v>
      </c>
      <c r="J29" s="17" t="s">
        <v>60</v>
      </c>
      <c r="K29" s="9" t="s">
        <v>64</v>
      </c>
      <c r="L29" s="17" t="s">
        <v>66</v>
      </c>
      <c r="M29" s="21" t="s">
        <v>346</v>
      </c>
      <c r="N29" s="17" t="s">
        <v>278</v>
      </c>
      <c r="O29" s="17"/>
      <c r="P29" s="17" t="s">
        <v>98</v>
      </c>
      <c r="Q29" s="32"/>
      <c r="R29" s="17">
        <v>32.0</v>
      </c>
    </row>
    <row r="30" ht="15.75" customHeight="1">
      <c r="A30" s="17" t="s">
        <v>347</v>
      </c>
      <c r="B30" s="17" t="s">
        <v>87</v>
      </c>
      <c r="C30" s="17" t="s">
        <v>135</v>
      </c>
      <c r="D30" s="17" t="s">
        <v>282</v>
      </c>
      <c r="E30" s="17" t="s">
        <v>119</v>
      </c>
      <c r="F30" s="30">
        <v>2.0</v>
      </c>
      <c r="G30" s="31">
        <v>51.99</v>
      </c>
      <c r="H30" s="31">
        <f t="shared" si="2"/>
        <v>103.98</v>
      </c>
      <c r="I30" s="17" t="s">
        <v>138</v>
      </c>
      <c r="J30" s="17" t="s">
        <v>60</v>
      </c>
      <c r="K30" s="9" t="s">
        <v>64</v>
      </c>
      <c r="L30" s="17" t="s">
        <v>66</v>
      </c>
      <c r="M30" s="21" t="s">
        <v>346</v>
      </c>
      <c r="N30" s="17" t="s">
        <v>284</v>
      </c>
      <c r="O30" s="17"/>
      <c r="P30" s="17" t="s">
        <v>98</v>
      </c>
      <c r="Q30" s="32"/>
      <c r="R30" s="17">
        <v>33.0</v>
      </c>
    </row>
    <row r="31" ht="15.75" customHeight="1">
      <c r="A31" s="17" t="s">
        <v>348</v>
      </c>
      <c r="B31" s="17" t="s">
        <v>87</v>
      </c>
      <c r="C31" s="17" t="s">
        <v>135</v>
      </c>
      <c r="D31" s="17" t="s">
        <v>287</v>
      </c>
      <c r="E31" s="17" t="s">
        <v>349</v>
      </c>
      <c r="F31" s="30">
        <v>2.0</v>
      </c>
      <c r="G31" s="33">
        <v>39.98</v>
      </c>
      <c r="H31" s="31">
        <f t="shared" si="2"/>
        <v>79.96</v>
      </c>
      <c r="I31" s="17" t="s">
        <v>138</v>
      </c>
      <c r="J31" s="20" t="s">
        <v>60</v>
      </c>
      <c r="K31" s="9" t="s">
        <v>64</v>
      </c>
      <c r="L31" s="17" t="s">
        <v>66</v>
      </c>
      <c r="M31" s="21" t="s">
        <v>71</v>
      </c>
      <c r="N31" s="36" t="s">
        <v>350</v>
      </c>
      <c r="O31" s="17"/>
      <c r="P31" s="17" t="s">
        <v>98</v>
      </c>
      <c r="Q31" s="32"/>
      <c r="R31" s="17">
        <v>34.0</v>
      </c>
    </row>
    <row r="32" ht="15.75" customHeight="1">
      <c r="A32" s="17" t="s">
        <v>351</v>
      </c>
      <c r="B32" s="17" t="s">
        <v>87</v>
      </c>
      <c r="C32" s="17" t="s">
        <v>135</v>
      </c>
      <c r="D32" s="17" t="s">
        <v>295</v>
      </c>
      <c r="E32" s="17" t="s">
        <v>119</v>
      </c>
      <c r="F32" s="30">
        <v>4.0</v>
      </c>
      <c r="G32" s="31">
        <v>18.99</v>
      </c>
      <c r="H32" s="31">
        <f t="shared" si="2"/>
        <v>75.96</v>
      </c>
      <c r="I32" s="17" t="s">
        <v>138</v>
      </c>
      <c r="J32" s="17" t="s">
        <v>60</v>
      </c>
      <c r="K32" s="9" t="s">
        <v>64</v>
      </c>
      <c r="L32" s="17" t="s">
        <v>66</v>
      </c>
      <c r="M32" s="21" t="s">
        <v>346</v>
      </c>
      <c r="N32" s="17" t="s">
        <v>298</v>
      </c>
      <c r="O32" s="17"/>
      <c r="P32" s="17" t="s">
        <v>98</v>
      </c>
      <c r="Q32" s="32"/>
      <c r="R32" s="17">
        <v>35.0</v>
      </c>
    </row>
    <row r="33" ht="15.75" customHeight="1">
      <c r="A33" s="17" t="s">
        <v>352</v>
      </c>
      <c r="B33" s="17" t="s">
        <v>87</v>
      </c>
      <c r="C33" s="17" t="s">
        <v>135</v>
      </c>
      <c r="D33" s="17" t="s">
        <v>301</v>
      </c>
      <c r="E33" s="17" t="s">
        <v>119</v>
      </c>
      <c r="F33" s="30">
        <v>2.0</v>
      </c>
      <c r="G33" s="31">
        <v>24.99</v>
      </c>
      <c r="H33" s="31">
        <f t="shared" si="2"/>
        <v>49.98</v>
      </c>
      <c r="I33" s="17" t="s">
        <v>51</v>
      </c>
      <c r="J33" s="17" t="s">
        <v>60</v>
      </c>
      <c r="K33" s="9" t="s">
        <v>64</v>
      </c>
      <c r="L33" s="17" t="s">
        <v>66</v>
      </c>
      <c r="M33" s="21" t="s">
        <v>346</v>
      </c>
      <c r="N33" s="17" t="s">
        <v>303</v>
      </c>
      <c r="O33" s="17"/>
      <c r="P33" s="17" t="s">
        <v>98</v>
      </c>
      <c r="Q33" s="32"/>
      <c r="R33" s="17">
        <v>36.0</v>
      </c>
    </row>
    <row r="34" ht="15.75" customHeight="1">
      <c r="A34" s="17" t="s">
        <v>353</v>
      </c>
      <c r="B34" s="17" t="s">
        <v>87</v>
      </c>
      <c r="C34" s="17" t="s">
        <v>354</v>
      </c>
      <c r="D34" s="17" t="s">
        <v>304</v>
      </c>
      <c r="E34" s="17" t="s">
        <v>119</v>
      </c>
      <c r="F34" s="30">
        <v>1.0</v>
      </c>
      <c r="G34" s="31">
        <v>20.99</v>
      </c>
      <c r="H34" s="31">
        <f t="shared" si="2"/>
        <v>20.99</v>
      </c>
      <c r="I34" s="17" t="s">
        <v>59</v>
      </c>
      <c r="J34" s="17" t="s">
        <v>60</v>
      </c>
      <c r="K34" s="9" t="s">
        <v>64</v>
      </c>
      <c r="L34" s="17" t="s">
        <v>66</v>
      </c>
      <c r="M34" s="21" t="s">
        <v>121</v>
      </c>
      <c r="N34" s="17" t="s">
        <v>305</v>
      </c>
      <c r="O34" s="17"/>
      <c r="P34" s="17" t="s">
        <v>98</v>
      </c>
      <c r="Q34" s="32"/>
      <c r="R34" s="17">
        <v>37.0</v>
      </c>
    </row>
    <row r="35" ht="15.75" customHeight="1">
      <c r="A35" s="17" t="s">
        <v>355</v>
      </c>
      <c r="B35" s="17" t="s">
        <v>87</v>
      </c>
      <c r="C35" s="17" t="s">
        <v>39</v>
      </c>
      <c r="D35" s="20" t="s">
        <v>356</v>
      </c>
      <c r="E35" s="17" t="s">
        <v>119</v>
      </c>
      <c r="F35" s="30">
        <v>1.0</v>
      </c>
      <c r="G35" s="31">
        <v>24.98</v>
      </c>
      <c r="H35" s="31">
        <f t="shared" si="2"/>
        <v>24.98</v>
      </c>
      <c r="I35" s="17" t="s">
        <v>59</v>
      </c>
      <c r="J35" s="17" t="s">
        <v>60</v>
      </c>
      <c r="K35" s="9" t="s">
        <v>64</v>
      </c>
      <c r="L35" s="17" t="s">
        <v>66</v>
      </c>
      <c r="M35" s="21" t="s">
        <v>121</v>
      </c>
      <c r="N35" s="17" t="s">
        <v>308</v>
      </c>
      <c r="O35" s="17"/>
      <c r="P35" s="17" t="s">
        <v>98</v>
      </c>
      <c r="Q35" s="32"/>
      <c r="R35" s="17">
        <v>38.0</v>
      </c>
    </row>
    <row r="36" ht="15.75" customHeight="1">
      <c r="A36" s="17" t="s">
        <v>357</v>
      </c>
      <c r="B36" s="17" t="s">
        <v>87</v>
      </c>
      <c r="C36" s="17" t="s">
        <v>39</v>
      </c>
      <c r="D36" s="17" t="s">
        <v>309</v>
      </c>
      <c r="E36" s="20" t="s">
        <v>106</v>
      </c>
      <c r="F36" s="30">
        <v>1.0</v>
      </c>
      <c r="G36" s="33">
        <v>115.99</v>
      </c>
      <c r="H36" s="31">
        <f t="shared" si="2"/>
        <v>115.99</v>
      </c>
      <c r="I36" s="17" t="s">
        <v>59</v>
      </c>
      <c r="J36" s="17" t="s">
        <v>60</v>
      </c>
      <c r="K36" s="9" t="s">
        <v>64</v>
      </c>
      <c r="L36" s="17" t="s">
        <v>66</v>
      </c>
      <c r="M36" s="21" t="s">
        <v>71</v>
      </c>
      <c r="N36" s="36" t="s">
        <v>358</v>
      </c>
      <c r="O36" s="17"/>
      <c r="P36" s="17" t="s">
        <v>98</v>
      </c>
      <c r="Q36" s="32"/>
      <c r="R36" s="17">
        <v>39.0</v>
      </c>
    </row>
    <row r="37" ht="15.75" customHeight="1">
      <c r="A37" s="17" t="s">
        <v>359</v>
      </c>
      <c r="B37" s="17" t="s">
        <v>87</v>
      </c>
      <c r="C37" s="17" t="s">
        <v>39</v>
      </c>
      <c r="D37" s="17" t="s">
        <v>315</v>
      </c>
      <c r="E37" s="17" t="s">
        <v>119</v>
      </c>
      <c r="F37" s="30">
        <v>1.0</v>
      </c>
      <c r="G37" s="31">
        <v>120.0</v>
      </c>
      <c r="H37" s="31">
        <f t="shared" si="2"/>
        <v>120</v>
      </c>
      <c r="I37" s="17" t="s">
        <v>59</v>
      </c>
      <c r="J37" s="17" t="s">
        <v>60</v>
      </c>
      <c r="K37" s="9" t="s">
        <v>64</v>
      </c>
      <c r="L37" s="17" t="s">
        <v>66</v>
      </c>
      <c r="M37" s="21" t="s">
        <v>71</v>
      </c>
      <c r="N37" s="17" t="s">
        <v>316</v>
      </c>
      <c r="O37" s="17"/>
      <c r="P37" s="17" t="s">
        <v>98</v>
      </c>
      <c r="Q37" s="32"/>
      <c r="R37" s="17">
        <v>40.0</v>
      </c>
    </row>
    <row r="38" ht="15.75" customHeight="1">
      <c r="A38" s="17" t="s">
        <v>362</v>
      </c>
      <c r="B38" s="17" t="s">
        <v>87</v>
      </c>
      <c r="C38" s="17" t="s">
        <v>135</v>
      </c>
      <c r="D38" s="17" t="s">
        <v>320</v>
      </c>
      <c r="E38" s="17" t="s">
        <v>119</v>
      </c>
      <c r="F38" s="30">
        <v>2.0</v>
      </c>
      <c r="G38" s="31">
        <v>16.99</v>
      </c>
      <c r="H38" s="31">
        <f t="shared" si="2"/>
        <v>33.98</v>
      </c>
      <c r="I38" s="17" t="s">
        <v>138</v>
      </c>
      <c r="J38" s="17" t="s">
        <v>60</v>
      </c>
      <c r="K38" s="9" t="s">
        <v>64</v>
      </c>
      <c r="L38" s="17" t="s">
        <v>66</v>
      </c>
      <c r="M38" s="21" t="s">
        <v>346</v>
      </c>
      <c r="N38" s="17" t="s">
        <v>321</v>
      </c>
      <c r="O38" s="17"/>
      <c r="P38" s="17" t="s">
        <v>98</v>
      </c>
      <c r="Q38" s="32"/>
      <c r="R38" s="17">
        <v>42.0</v>
      </c>
    </row>
    <row r="39" ht="15.75" customHeight="1">
      <c r="A39" s="17" t="s">
        <v>367</v>
      </c>
      <c r="B39" s="17" t="s">
        <v>87</v>
      </c>
      <c r="C39" s="17" t="s">
        <v>135</v>
      </c>
      <c r="D39" s="17" t="s">
        <v>322</v>
      </c>
      <c r="E39" s="17" t="s">
        <v>119</v>
      </c>
      <c r="F39" s="30">
        <v>2.0</v>
      </c>
      <c r="G39" s="31">
        <v>24.98</v>
      </c>
      <c r="H39" s="31">
        <f t="shared" si="2"/>
        <v>49.96</v>
      </c>
      <c r="I39" s="17" t="s">
        <v>138</v>
      </c>
      <c r="J39" s="17" t="s">
        <v>60</v>
      </c>
      <c r="K39" s="9" t="s">
        <v>64</v>
      </c>
      <c r="L39" s="17" t="s">
        <v>66</v>
      </c>
      <c r="M39" s="21" t="s">
        <v>346</v>
      </c>
      <c r="N39" s="17" t="s">
        <v>323</v>
      </c>
      <c r="O39" s="17"/>
      <c r="P39" s="17" t="s">
        <v>98</v>
      </c>
      <c r="Q39" s="32"/>
      <c r="R39" s="17">
        <v>43.0</v>
      </c>
    </row>
    <row r="40" ht="15.75" customHeight="1">
      <c r="A40" s="17" t="s">
        <v>372</v>
      </c>
      <c r="B40" s="17" t="s">
        <v>85</v>
      </c>
      <c r="C40" s="17" t="s">
        <v>354</v>
      </c>
      <c r="D40" s="17" t="s">
        <v>324</v>
      </c>
      <c r="E40" s="17" t="s">
        <v>44</v>
      </c>
      <c r="F40" s="30">
        <v>1.0</v>
      </c>
      <c r="G40" s="33">
        <v>20.99</v>
      </c>
      <c r="H40" s="31">
        <f t="shared" si="2"/>
        <v>20.99</v>
      </c>
      <c r="I40" s="17" t="s">
        <v>59</v>
      </c>
      <c r="J40" s="17" t="s">
        <v>60</v>
      </c>
      <c r="K40" s="9" t="s">
        <v>64</v>
      </c>
      <c r="L40" s="17" t="s">
        <v>66</v>
      </c>
      <c r="M40" s="21" t="s">
        <v>121</v>
      </c>
      <c r="N40" s="36" t="s">
        <v>378</v>
      </c>
      <c r="O40" s="17"/>
      <c r="P40" s="17" t="s">
        <v>98</v>
      </c>
      <c r="Q40" s="32"/>
      <c r="R40" s="17">
        <v>46.0</v>
      </c>
    </row>
    <row r="41" ht="15.75" customHeight="1">
      <c r="A41" s="17" t="s">
        <v>400</v>
      </c>
      <c r="B41" s="17" t="s">
        <v>85</v>
      </c>
      <c r="C41" s="17" t="s">
        <v>135</v>
      </c>
      <c r="D41" s="17" t="s">
        <v>328</v>
      </c>
      <c r="E41" s="17" t="s">
        <v>161</v>
      </c>
      <c r="F41" s="30">
        <v>4.0</v>
      </c>
      <c r="G41" s="31">
        <v>32.99</v>
      </c>
      <c r="H41" s="31">
        <f t="shared" si="2"/>
        <v>131.96</v>
      </c>
      <c r="I41" s="17" t="s">
        <v>51</v>
      </c>
      <c r="J41" s="17" t="s">
        <v>60</v>
      </c>
      <c r="K41" s="9" t="s">
        <v>64</v>
      </c>
      <c r="L41" s="17" t="s">
        <v>66</v>
      </c>
      <c r="M41" s="21" t="s">
        <v>346</v>
      </c>
      <c r="N41" s="17" t="s">
        <v>329</v>
      </c>
      <c r="O41" s="17"/>
      <c r="P41" s="17" t="s">
        <v>98</v>
      </c>
      <c r="Q41" s="32"/>
      <c r="R41" s="17">
        <v>48.0</v>
      </c>
    </row>
    <row r="42" ht="15.75" customHeight="1">
      <c r="A42" s="17" t="s">
        <v>408</v>
      </c>
      <c r="B42" s="17" t="s">
        <v>85</v>
      </c>
      <c r="C42" s="17" t="s">
        <v>135</v>
      </c>
      <c r="D42" s="17" t="s">
        <v>330</v>
      </c>
      <c r="E42" s="17" t="s">
        <v>161</v>
      </c>
      <c r="F42" s="30">
        <v>2.0</v>
      </c>
      <c r="G42" s="31">
        <v>28.99</v>
      </c>
      <c r="H42" s="31">
        <f t="shared" si="2"/>
        <v>57.98</v>
      </c>
      <c r="I42" s="17" t="s">
        <v>138</v>
      </c>
      <c r="J42" s="17" t="s">
        <v>60</v>
      </c>
      <c r="K42" s="9" t="s">
        <v>64</v>
      </c>
      <c r="L42" s="17" t="s">
        <v>66</v>
      </c>
      <c r="M42" s="21" t="s">
        <v>346</v>
      </c>
      <c r="N42" s="17" t="s">
        <v>331</v>
      </c>
      <c r="O42" s="17"/>
      <c r="P42" s="17" t="s">
        <v>98</v>
      </c>
      <c r="Q42" s="32"/>
      <c r="R42" s="17">
        <v>49.0</v>
      </c>
    </row>
    <row r="43" ht="15.75" customHeight="1">
      <c r="A43" s="17" t="s">
        <v>416</v>
      </c>
      <c r="B43" s="17" t="s">
        <v>85</v>
      </c>
      <c r="C43" s="17" t="s">
        <v>246</v>
      </c>
      <c r="D43" s="17" t="s">
        <v>332</v>
      </c>
      <c r="E43" s="17" t="s">
        <v>161</v>
      </c>
      <c r="F43" s="30">
        <v>2.0</v>
      </c>
      <c r="G43" s="31">
        <v>25.99</v>
      </c>
      <c r="H43" s="31">
        <f t="shared" si="2"/>
        <v>51.98</v>
      </c>
      <c r="I43" s="17" t="s">
        <v>59</v>
      </c>
      <c r="J43" s="17" t="s">
        <v>60</v>
      </c>
      <c r="K43" s="9" t="s">
        <v>64</v>
      </c>
      <c r="L43" s="17" t="s">
        <v>66</v>
      </c>
      <c r="M43" s="21" t="s">
        <v>346</v>
      </c>
      <c r="N43" s="17" t="s">
        <v>333</v>
      </c>
      <c r="O43" s="17"/>
      <c r="P43" s="17" t="s">
        <v>98</v>
      </c>
      <c r="Q43" s="32"/>
      <c r="R43" s="17">
        <v>50.0</v>
      </c>
    </row>
    <row r="44" ht="15.75" customHeight="1">
      <c r="A44" s="17" t="s">
        <v>424</v>
      </c>
      <c r="B44" s="17" t="s">
        <v>85</v>
      </c>
      <c r="C44" s="17" t="s">
        <v>425</v>
      </c>
      <c r="D44" s="17" t="s">
        <v>334</v>
      </c>
      <c r="E44" s="17" t="s">
        <v>161</v>
      </c>
      <c r="F44" s="30">
        <v>2.0</v>
      </c>
      <c r="G44" s="31">
        <v>24.99</v>
      </c>
      <c r="H44" s="31">
        <f t="shared" si="2"/>
        <v>49.98</v>
      </c>
      <c r="I44" s="17" t="s">
        <v>59</v>
      </c>
      <c r="J44" s="17" t="s">
        <v>60</v>
      </c>
      <c r="K44" s="9" t="s">
        <v>64</v>
      </c>
      <c r="L44" s="17" t="s">
        <v>429</v>
      </c>
      <c r="M44" s="21" t="s">
        <v>346</v>
      </c>
      <c r="N44" s="17" t="s">
        <v>335</v>
      </c>
      <c r="O44" s="17"/>
      <c r="P44" s="17" t="s">
        <v>98</v>
      </c>
      <c r="Q44" s="32"/>
      <c r="R44" s="17">
        <v>51.0</v>
      </c>
    </row>
    <row r="45" ht="15.75" customHeight="1">
      <c r="A45" s="17" t="s">
        <v>433</v>
      </c>
      <c r="B45" s="17" t="s">
        <v>85</v>
      </c>
      <c r="C45" s="17" t="s">
        <v>425</v>
      </c>
      <c r="D45" s="17" t="s">
        <v>336</v>
      </c>
      <c r="E45" s="17" t="s">
        <v>119</v>
      </c>
      <c r="F45" s="30">
        <v>2.0</v>
      </c>
      <c r="G45" s="31">
        <v>27.64</v>
      </c>
      <c r="H45" s="31">
        <f t="shared" si="2"/>
        <v>55.28</v>
      </c>
      <c r="I45" s="17" t="s">
        <v>59</v>
      </c>
      <c r="J45" s="17" t="s">
        <v>60</v>
      </c>
      <c r="K45" s="9" t="s">
        <v>64</v>
      </c>
      <c r="L45" s="17" t="s">
        <v>429</v>
      </c>
      <c r="M45" s="21" t="s">
        <v>121</v>
      </c>
      <c r="N45" s="17" t="s">
        <v>337</v>
      </c>
      <c r="O45" s="17"/>
      <c r="P45" s="17" t="s">
        <v>98</v>
      </c>
      <c r="Q45" s="32"/>
      <c r="R45" s="17">
        <v>52.0</v>
      </c>
    </row>
    <row r="46" ht="15.75" customHeight="1">
      <c r="A46" s="17" t="s">
        <v>441</v>
      </c>
      <c r="B46" s="17" t="s">
        <v>85</v>
      </c>
      <c r="C46" s="17" t="s">
        <v>425</v>
      </c>
      <c r="D46" s="17" t="s">
        <v>338</v>
      </c>
      <c r="E46" s="17" t="s">
        <v>119</v>
      </c>
      <c r="F46" s="30">
        <v>1.0</v>
      </c>
      <c r="G46" s="31">
        <v>24.99</v>
      </c>
      <c r="H46" s="31">
        <f t="shared" si="2"/>
        <v>24.99</v>
      </c>
      <c r="I46" s="17" t="s">
        <v>59</v>
      </c>
      <c r="J46" s="17" t="s">
        <v>60</v>
      </c>
      <c r="K46" s="9" t="s">
        <v>64</v>
      </c>
      <c r="L46" s="17" t="s">
        <v>429</v>
      </c>
      <c r="M46" s="21" t="s">
        <v>444</v>
      </c>
      <c r="N46" s="17" t="s">
        <v>339</v>
      </c>
      <c r="O46" s="17"/>
      <c r="P46" s="17" t="s">
        <v>98</v>
      </c>
      <c r="Q46" s="32"/>
      <c r="R46" s="17">
        <v>53.0</v>
      </c>
    </row>
    <row r="47" ht="15.75" customHeight="1">
      <c r="A47" s="17" t="s">
        <v>446</v>
      </c>
      <c r="B47" s="17" t="s">
        <v>85</v>
      </c>
      <c r="C47" s="17" t="s">
        <v>425</v>
      </c>
      <c r="D47" s="17" t="s">
        <v>340</v>
      </c>
      <c r="E47" s="17" t="s">
        <v>119</v>
      </c>
      <c r="F47" s="30">
        <v>1.0</v>
      </c>
      <c r="G47" s="31">
        <v>24.99</v>
      </c>
      <c r="H47" s="31">
        <f t="shared" si="2"/>
        <v>24.99</v>
      </c>
      <c r="I47" s="17" t="s">
        <v>59</v>
      </c>
      <c r="J47" s="17" t="s">
        <v>60</v>
      </c>
      <c r="K47" s="9" t="s">
        <v>64</v>
      </c>
      <c r="L47" s="17" t="s">
        <v>429</v>
      </c>
      <c r="M47" s="21" t="s">
        <v>444</v>
      </c>
      <c r="N47" s="17" t="s">
        <v>341</v>
      </c>
      <c r="O47" s="17"/>
      <c r="P47" s="17" t="s">
        <v>98</v>
      </c>
      <c r="Q47" s="32"/>
      <c r="R47" s="17">
        <v>54.0</v>
      </c>
    </row>
    <row r="48" ht="15.75" customHeight="1">
      <c r="A48" s="17" t="s">
        <v>452</v>
      </c>
      <c r="B48" s="17" t="s">
        <v>85</v>
      </c>
      <c r="C48" s="17" t="s">
        <v>425</v>
      </c>
      <c r="D48" s="17" t="s">
        <v>360</v>
      </c>
      <c r="E48" s="17" t="s">
        <v>119</v>
      </c>
      <c r="F48" s="30">
        <v>1.0</v>
      </c>
      <c r="G48" s="31">
        <v>21.99</v>
      </c>
      <c r="H48" s="31">
        <f t="shared" si="2"/>
        <v>21.99</v>
      </c>
      <c r="I48" s="17" t="s">
        <v>59</v>
      </c>
      <c r="J48" s="17" t="s">
        <v>60</v>
      </c>
      <c r="K48" s="9" t="s">
        <v>64</v>
      </c>
      <c r="L48" s="17" t="s">
        <v>429</v>
      </c>
      <c r="M48" s="21" t="s">
        <v>444</v>
      </c>
      <c r="N48" s="17" t="s">
        <v>361</v>
      </c>
      <c r="O48" s="17"/>
      <c r="P48" s="17" t="s">
        <v>98</v>
      </c>
      <c r="Q48" s="32"/>
      <c r="R48" s="17">
        <v>55.0</v>
      </c>
    </row>
    <row r="49" ht="15.75" customHeight="1">
      <c r="A49" s="17" t="s">
        <v>458</v>
      </c>
      <c r="B49" s="17" t="s">
        <v>85</v>
      </c>
      <c r="C49" s="17" t="s">
        <v>135</v>
      </c>
      <c r="D49" s="17" t="s">
        <v>363</v>
      </c>
      <c r="E49" s="17" t="s">
        <v>44</v>
      </c>
      <c r="F49" s="30">
        <v>2.0</v>
      </c>
      <c r="G49" s="33">
        <v>8.83</v>
      </c>
      <c r="H49" s="31">
        <f t="shared" si="2"/>
        <v>17.66</v>
      </c>
      <c r="I49" s="17" t="s">
        <v>59</v>
      </c>
      <c r="J49" s="17" t="s">
        <v>60</v>
      </c>
      <c r="K49" s="9" t="s">
        <v>64</v>
      </c>
      <c r="L49" s="17" t="s">
        <v>66</v>
      </c>
      <c r="M49" s="21" t="s">
        <v>121</v>
      </c>
      <c r="N49" s="36" t="s">
        <v>461</v>
      </c>
      <c r="O49" s="17"/>
      <c r="P49" s="17" t="s">
        <v>98</v>
      </c>
      <c r="Q49" s="32"/>
      <c r="R49" s="17">
        <v>56.0</v>
      </c>
    </row>
    <row r="50" ht="15.75" customHeight="1">
      <c r="A50" s="17" t="s">
        <v>473</v>
      </c>
      <c r="B50" s="17" t="s">
        <v>85</v>
      </c>
      <c r="C50" s="17" t="s">
        <v>246</v>
      </c>
      <c r="D50" s="17" t="s">
        <v>365</v>
      </c>
      <c r="E50" s="17" t="s">
        <v>119</v>
      </c>
      <c r="F50" s="37">
        <v>2.0</v>
      </c>
      <c r="G50" s="31">
        <v>24.98</v>
      </c>
      <c r="H50" s="31">
        <f t="shared" si="2"/>
        <v>49.96</v>
      </c>
      <c r="I50" s="17" t="s">
        <v>59</v>
      </c>
      <c r="J50" s="17" t="s">
        <v>60</v>
      </c>
      <c r="K50" s="9" t="s">
        <v>64</v>
      </c>
      <c r="L50" s="17" t="s">
        <v>66</v>
      </c>
      <c r="M50" s="21" t="s">
        <v>121</v>
      </c>
      <c r="N50" s="17" t="s">
        <v>366</v>
      </c>
      <c r="O50" s="17"/>
      <c r="P50" s="17" t="s">
        <v>98</v>
      </c>
      <c r="Q50" s="32"/>
      <c r="R50" s="17">
        <v>57.0</v>
      </c>
    </row>
    <row r="51" ht="15.75" customHeight="1">
      <c r="A51" s="17" t="s">
        <v>481</v>
      </c>
      <c r="B51" s="17" t="s">
        <v>85</v>
      </c>
      <c r="C51" s="17" t="s">
        <v>135</v>
      </c>
      <c r="D51" s="20" t="s">
        <v>482</v>
      </c>
      <c r="E51" s="20" t="s">
        <v>119</v>
      </c>
      <c r="F51" s="37">
        <v>2.0</v>
      </c>
      <c r="G51" s="31">
        <v>8.99</v>
      </c>
      <c r="H51" s="31">
        <f t="shared" si="2"/>
        <v>17.98</v>
      </c>
      <c r="I51" s="17" t="s">
        <v>138</v>
      </c>
      <c r="J51" s="20" t="s">
        <v>60</v>
      </c>
      <c r="K51" s="9" t="s">
        <v>64</v>
      </c>
      <c r="L51" s="17" t="s">
        <v>66</v>
      </c>
      <c r="M51" s="21" t="s">
        <v>121</v>
      </c>
      <c r="N51" s="36" t="s">
        <v>487</v>
      </c>
      <c r="O51" s="17"/>
      <c r="P51" s="17" t="s">
        <v>98</v>
      </c>
      <c r="Q51" s="32"/>
      <c r="R51" s="17">
        <v>58.0</v>
      </c>
    </row>
    <row r="52" ht="15.75" customHeight="1">
      <c r="A52" s="17" t="s">
        <v>513</v>
      </c>
      <c r="B52" s="17" t="s">
        <v>85</v>
      </c>
      <c r="C52" s="17" t="s">
        <v>354</v>
      </c>
      <c r="D52" s="17" t="s">
        <v>370</v>
      </c>
      <c r="E52" s="17" t="s">
        <v>119</v>
      </c>
      <c r="F52" s="30">
        <v>1.0</v>
      </c>
      <c r="G52" s="33">
        <v>9.85</v>
      </c>
      <c r="H52" s="31">
        <f t="shared" si="2"/>
        <v>9.85</v>
      </c>
      <c r="I52" s="17" t="s">
        <v>51</v>
      </c>
      <c r="J52" s="17" t="s">
        <v>60</v>
      </c>
      <c r="K52" s="9" t="s">
        <v>64</v>
      </c>
      <c r="L52" s="17" t="s">
        <v>66</v>
      </c>
      <c r="M52" s="21" t="s">
        <v>121</v>
      </c>
      <c r="N52" s="36" t="s">
        <v>516</v>
      </c>
      <c r="O52" s="17"/>
      <c r="P52" s="17" t="s">
        <v>98</v>
      </c>
      <c r="Q52" s="32"/>
      <c r="R52" s="17">
        <v>59.0</v>
      </c>
    </row>
    <row r="53" ht="15.75" customHeight="1">
      <c r="A53" s="17" t="s">
        <v>517</v>
      </c>
      <c r="B53" s="17" t="s">
        <v>85</v>
      </c>
      <c r="C53" s="17" t="s">
        <v>246</v>
      </c>
      <c r="D53" s="17" t="s">
        <v>373</v>
      </c>
      <c r="E53" s="17" t="s">
        <v>119</v>
      </c>
      <c r="F53" s="30">
        <v>1.0</v>
      </c>
      <c r="G53" s="31">
        <v>25.99</v>
      </c>
      <c r="H53" s="31">
        <f t="shared" si="2"/>
        <v>25.99</v>
      </c>
      <c r="I53" s="17" t="s">
        <v>59</v>
      </c>
      <c r="J53" s="17" t="s">
        <v>60</v>
      </c>
      <c r="K53" s="9" t="s">
        <v>64</v>
      </c>
      <c r="L53" s="17" t="s">
        <v>66</v>
      </c>
      <c r="M53" s="21" t="s">
        <v>121</v>
      </c>
      <c r="N53" s="17" t="s">
        <v>374</v>
      </c>
      <c r="O53" s="17"/>
      <c r="P53" s="17" t="s">
        <v>98</v>
      </c>
      <c r="Q53" s="32"/>
      <c r="R53" s="17">
        <v>60.0</v>
      </c>
    </row>
    <row r="54" ht="15.75" customHeight="1">
      <c r="A54" s="17" t="s">
        <v>518</v>
      </c>
      <c r="B54" s="17" t="s">
        <v>85</v>
      </c>
      <c r="C54" s="17" t="s">
        <v>189</v>
      </c>
      <c r="D54" s="17" t="s">
        <v>375</v>
      </c>
      <c r="E54" s="17" t="s">
        <v>119</v>
      </c>
      <c r="F54" s="30">
        <v>1.0</v>
      </c>
      <c r="G54" s="31">
        <v>22.99</v>
      </c>
      <c r="H54" s="31">
        <f t="shared" si="2"/>
        <v>22.99</v>
      </c>
      <c r="I54" s="17" t="s">
        <v>138</v>
      </c>
      <c r="J54" s="17" t="s">
        <v>60</v>
      </c>
      <c r="K54" s="9" t="s">
        <v>64</v>
      </c>
      <c r="L54" s="17" t="s">
        <v>66</v>
      </c>
      <c r="M54" s="21" t="s">
        <v>121</v>
      </c>
      <c r="N54" s="17" t="s">
        <v>376</v>
      </c>
      <c r="O54" s="17"/>
      <c r="P54" s="17" t="s">
        <v>98</v>
      </c>
      <c r="Q54" s="32"/>
      <c r="R54" s="17">
        <v>61.0</v>
      </c>
    </row>
    <row r="55" ht="15.75" customHeight="1">
      <c r="A55" s="17" t="s">
        <v>519</v>
      </c>
      <c r="B55" s="17" t="s">
        <v>85</v>
      </c>
      <c r="C55" s="17" t="s">
        <v>354</v>
      </c>
      <c r="D55" s="17" t="s">
        <v>377</v>
      </c>
      <c r="E55" s="17" t="s">
        <v>44</v>
      </c>
      <c r="F55" s="30">
        <v>1.0</v>
      </c>
      <c r="G55" s="31">
        <v>4.97</v>
      </c>
      <c r="H55" s="31">
        <f t="shared" si="2"/>
        <v>4.97</v>
      </c>
      <c r="I55" s="17" t="s">
        <v>59</v>
      </c>
      <c r="J55" s="17" t="s">
        <v>60</v>
      </c>
      <c r="K55" s="9" t="s">
        <v>64</v>
      </c>
      <c r="L55" s="17" t="s">
        <v>66</v>
      </c>
      <c r="M55" s="21" t="s">
        <v>121</v>
      </c>
      <c r="N55" s="17" t="s">
        <v>379</v>
      </c>
      <c r="O55" s="17"/>
      <c r="P55" s="17" t="s">
        <v>98</v>
      </c>
      <c r="Q55" s="32"/>
      <c r="R55" s="17">
        <v>62.0</v>
      </c>
    </row>
    <row r="56" ht="15.75" customHeight="1">
      <c r="A56" s="17" t="s">
        <v>520</v>
      </c>
      <c r="B56" s="17" t="s">
        <v>85</v>
      </c>
      <c r="C56" s="17" t="s">
        <v>189</v>
      </c>
      <c r="D56" s="17" t="s">
        <v>380</v>
      </c>
      <c r="E56" s="17" t="s">
        <v>119</v>
      </c>
      <c r="F56" s="30">
        <v>1.0</v>
      </c>
      <c r="G56" s="31">
        <v>15.77</v>
      </c>
      <c r="H56" s="31">
        <f t="shared" si="2"/>
        <v>15.77</v>
      </c>
      <c r="I56" s="17" t="s">
        <v>138</v>
      </c>
      <c r="J56" s="17" t="s">
        <v>60</v>
      </c>
      <c r="K56" s="9" t="s">
        <v>64</v>
      </c>
      <c r="L56" s="17" t="s">
        <v>66</v>
      </c>
      <c r="M56" s="21" t="s">
        <v>121</v>
      </c>
      <c r="N56" s="17" t="s">
        <v>381</v>
      </c>
      <c r="O56" s="17"/>
      <c r="P56" s="17" t="s">
        <v>98</v>
      </c>
      <c r="Q56" s="32"/>
      <c r="R56" s="17">
        <v>63.0</v>
      </c>
    </row>
    <row r="57" ht="15.75" customHeight="1">
      <c r="A57" s="17" t="s">
        <v>521</v>
      </c>
      <c r="B57" s="17" t="s">
        <v>85</v>
      </c>
      <c r="C57" s="17" t="s">
        <v>189</v>
      </c>
      <c r="D57" s="17" t="s">
        <v>382</v>
      </c>
      <c r="E57" s="17" t="s">
        <v>119</v>
      </c>
      <c r="F57" s="30">
        <v>1.0</v>
      </c>
      <c r="G57" s="31">
        <v>14.99</v>
      </c>
      <c r="H57" s="31">
        <f t="shared" si="2"/>
        <v>14.99</v>
      </c>
      <c r="I57" s="17" t="s">
        <v>138</v>
      </c>
      <c r="J57" s="17" t="s">
        <v>60</v>
      </c>
      <c r="K57" s="9" t="s">
        <v>64</v>
      </c>
      <c r="L57" s="17" t="s">
        <v>66</v>
      </c>
      <c r="M57" s="21" t="s">
        <v>121</v>
      </c>
      <c r="N57" s="17" t="s">
        <v>383</v>
      </c>
      <c r="O57" s="17"/>
      <c r="P57" s="17" t="s">
        <v>98</v>
      </c>
      <c r="Q57" s="32"/>
      <c r="R57" s="17">
        <v>64.0</v>
      </c>
    </row>
    <row r="58" ht="15.75" customHeight="1">
      <c r="A58" s="17" t="s">
        <v>522</v>
      </c>
      <c r="B58" s="17" t="s">
        <v>82</v>
      </c>
      <c r="C58" s="17" t="s">
        <v>523</v>
      </c>
      <c r="D58" s="17" t="s">
        <v>384</v>
      </c>
      <c r="E58" s="17" t="s">
        <v>44</v>
      </c>
      <c r="F58" s="30">
        <v>8.0</v>
      </c>
      <c r="G58" s="31">
        <v>1.48</v>
      </c>
      <c r="H58" s="31">
        <f t="shared" si="2"/>
        <v>11.84</v>
      </c>
      <c r="I58" s="17" t="s">
        <v>59</v>
      </c>
      <c r="J58" s="17" t="s">
        <v>60</v>
      </c>
      <c r="K58" s="9" t="s">
        <v>64</v>
      </c>
      <c r="L58" s="17" t="s">
        <v>66</v>
      </c>
      <c r="M58" s="21" t="s">
        <v>121</v>
      </c>
      <c r="N58" s="17" t="s">
        <v>385</v>
      </c>
      <c r="O58" s="17"/>
      <c r="P58" s="17" t="s">
        <v>98</v>
      </c>
      <c r="Q58" s="32"/>
      <c r="R58" s="17">
        <v>67.0</v>
      </c>
    </row>
    <row r="59" ht="15.75" customHeight="1">
      <c r="A59" s="17" t="s">
        <v>524</v>
      </c>
      <c r="B59" s="17" t="s">
        <v>82</v>
      </c>
      <c r="C59" s="17" t="s">
        <v>523</v>
      </c>
      <c r="D59" s="17" t="s">
        <v>386</v>
      </c>
      <c r="E59" s="17" t="s">
        <v>44</v>
      </c>
      <c r="F59" s="30">
        <v>8.0</v>
      </c>
      <c r="G59" s="31">
        <v>1.58</v>
      </c>
      <c r="H59" s="31">
        <f t="shared" si="2"/>
        <v>12.64</v>
      </c>
      <c r="I59" s="17" t="s">
        <v>59</v>
      </c>
      <c r="J59" s="17" t="s">
        <v>60</v>
      </c>
      <c r="K59" s="9" t="s">
        <v>64</v>
      </c>
      <c r="L59" s="17" t="s">
        <v>66</v>
      </c>
      <c r="M59" s="21" t="s">
        <v>121</v>
      </c>
      <c r="N59" s="17" t="s">
        <v>387</v>
      </c>
      <c r="O59" s="17"/>
      <c r="P59" s="17" t="s">
        <v>98</v>
      </c>
      <c r="Q59" s="32"/>
      <c r="R59" s="17">
        <v>68.0</v>
      </c>
    </row>
    <row r="60" ht="15.75" customHeight="1">
      <c r="A60" s="17" t="s">
        <v>525</v>
      </c>
      <c r="B60" s="17" t="s">
        <v>82</v>
      </c>
      <c r="C60" s="17" t="s">
        <v>523</v>
      </c>
      <c r="D60" s="17" t="s">
        <v>388</v>
      </c>
      <c r="E60" s="17" t="s">
        <v>44</v>
      </c>
      <c r="F60" s="30">
        <v>8.0</v>
      </c>
      <c r="G60" s="31">
        <v>1.58</v>
      </c>
      <c r="H60" s="31">
        <f t="shared" si="2"/>
        <v>12.64</v>
      </c>
      <c r="I60" s="17" t="s">
        <v>59</v>
      </c>
      <c r="J60" s="17" t="s">
        <v>60</v>
      </c>
      <c r="K60" s="9" t="s">
        <v>64</v>
      </c>
      <c r="L60" s="17" t="s">
        <v>66</v>
      </c>
      <c r="M60" s="21" t="s">
        <v>121</v>
      </c>
      <c r="N60" s="17" t="s">
        <v>389</v>
      </c>
      <c r="O60" s="17"/>
      <c r="P60" s="17" t="s">
        <v>98</v>
      </c>
      <c r="Q60" s="32"/>
      <c r="R60" s="17">
        <v>69.0</v>
      </c>
    </row>
    <row r="61" ht="15.75" customHeight="1">
      <c r="A61" s="17" t="s">
        <v>526</v>
      </c>
      <c r="B61" s="17" t="s">
        <v>82</v>
      </c>
      <c r="C61" s="17" t="s">
        <v>523</v>
      </c>
      <c r="D61" s="17" t="s">
        <v>390</v>
      </c>
      <c r="E61" s="17" t="s">
        <v>44</v>
      </c>
      <c r="F61" s="30">
        <v>8.0</v>
      </c>
      <c r="G61" s="31">
        <v>1.48</v>
      </c>
      <c r="H61" s="31">
        <f t="shared" si="2"/>
        <v>11.84</v>
      </c>
      <c r="I61" s="17" t="s">
        <v>51</v>
      </c>
      <c r="J61" s="17" t="s">
        <v>60</v>
      </c>
      <c r="K61" s="9" t="s">
        <v>64</v>
      </c>
      <c r="L61" s="17" t="s">
        <v>66</v>
      </c>
      <c r="M61" s="21" t="s">
        <v>121</v>
      </c>
      <c r="N61" s="17" t="s">
        <v>391</v>
      </c>
      <c r="O61" s="17"/>
      <c r="P61" s="17" t="s">
        <v>98</v>
      </c>
      <c r="Q61" s="32"/>
      <c r="R61" s="17">
        <v>70.0</v>
      </c>
    </row>
    <row r="62" ht="15.75" customHeight="1">
      <c r="A62" s="17" t="s">
        <v>527</v>
      </c>
      <c r="B62" s="17" t="s">
        <v>82</v>
      </c>
      <c r="C62" s="17" t="s">
        <v>523</v>
      </c>
      <c r="D62" s="17" t="s">
        <v>392</v>
      </c>
      <c r="E62" s="17" t="s">
        <v>44</v>
      </c>
      <c r="F62" s="30">
        <v>8.0</v>
      </c>
      <c r="G62" s="31">
        <v>1.48</v>
      </c>
      <c r="H62" s="31">
        <f t="shared" si="2"/>
        <v>11.84</v>
      </c>
      <c r="I62" s="17" t="s">
        <v>51</v>
      </c>
      <c r="J62" s="17" t="s">
        <v>60</v>
      </c>
      <c r="K62" s="9" t="s">
        <v>64</v>
      </c>
      <c r="L62" s="17" t="s">
        <v>66</v>
      </c>
      <c r="M62" s="21" t="s">
        <v>121</v>
      </c>
      <c r="N62" s="17" t="s">
        <v>393</v>
      </c>
      <c r="O62" s="17"/>
      <c r="P62" s="17" t="s">
        <v>98</v>
      </c>
      <c r="Q62" s="32"/>
      <c r="R62" s="17">
        <v>71.0</v>
      </c>
    </row>
    <row r="63" ht="15.75" customHeight="1">
      <c r="A63" s="17" t="s">
        <v>528</v>
      </c>
      <c r="B63" s="17" t="s">
        <v>82</v>
      </c>
      <c r="C63" s="17" t="s">
        <v>523</v>
      </c>
      <c r="D63" s="17" t="s">
        <v>394</v>
      </c>
      <c r="E63" s="17" t="s">
        <v>44</v>
      </c>
      <c r="F63" s="30">
        <v>8.0</v>
      </c>
      <c r="G63" s="31">
        <v>1.48</v>
      </c>
      <c r="H63" s="31">
        <f t="shared" si="2"/>
        <v>11.84</v>
      </c>
      <c r="I63" s="17" t="s">
        <v>51</v>
      </c>
      <c r="J63" s="17" t="s">
        <v>60</v>
      </c>
      <c r="K63" s="9" t="s">
        <v>64</v>
      </c>
      <c r="L63" s="17" t="s">
        <v>66</v>
      </c>
      <c r="M63" s="21" t="s">
        <v>121</v>
      </c>
      <c r="N63" s="17" t="s">
        <v>395</v>
      </c>
      <c r="O63" s="17"/>
      <c r="P63" s="17" t="s">
        <v>98</v>
      </c>
      <c r="Q63" s="32"/>
      <c r="R63" s="17">
        <v>72.0</v>
      </c>
    </row>
    <row r="64" ht="15.75" customHeight="1">
      <c r="A64" s="17" t="s">
        <v>529</v>
      </c>
      <c r="B64" s="17" t="s">
        <v>82</v>
      </c>
      <c r="C64" s="17" t="s">
        <v>523</v>
      </c>
      <c r="D64" s="17" t="s">
        <v>396</v>
      </c>
      <c r="E64" s="17" t="s">
        <v>44</v>
      </c>
      <c r="F64" s="30">
        <v>8.0</v>
      </c>
      <c r="G64" s="31">
        <v>1.48</v>
      </c>
      <c r="H64" s="31">
        <f t="shared" si="2"/>
        <v>11.84</v>
      </c>
      <c r="I64" s="17" t="s">
        <v>59</v>
      </c>
      <c r="J64" s="17" t="s">
        <v>60</v>
      </c>
      <c r="K64" s="9" t="s">
        <v>64</v>
      </c>
      <c r="L64" s="17" t="s">
        <v>66</v>
      </c>
      <c r="M64" s="21" t="s">
        <v>121</v>
      </c>
      <c r="N64" s="17" t="s">
        <v>397</v>
      </c>
      <c r="O64" s="17"/>
      <c r="P64" s="17" t="s">
        <v>98</v>
      </c>
      <c r="Q64" s="32"/>
      <c r="R64" s="17">
        <v>73.0</v>
      </c>
    </row>
    <row r="65" ht="15.75" customHeight="1">
      <c r="A65" s="17" t="s">
        <v>530</v>
      </c>
      <c r="B65" s="17" t="s">
        <v>82</v>
      </c>
      <c r="C65" s="17" t="s">
        <v>135</v>
      </c>
      <c r="D65" s="17" t="s">
        <v>398</v>
      </c>
      <c r="E65" s="17" t="s">
        <v>44</v>
      </c>
      <c r="F65" s="30">
        <v>4.0</v>
      </c>
      <c r="G65" s="31">
        <v>5.36</v>
      </c>
      <c r="H65" s="31">
        <f t="shared" si="2"/>
        <v>21.44</v>
      </c>
      <c r="I65" s="17" t="s">
        <v>138</v>
      </c>
      <c r="J65" s="17" t="s">
        <v>60</v>
      </c>
      <c r="K65" s="9" t="s">
        <v>64</v>
      </c>
      <c r="L65" s="17" t="s">
        <v>66</v>
      </c>
      <c r="M65" s="21" t="s">
        <v>346</v>
      </c>
      <c r="N65" s="17" t="s">
        <v>399</v>
      </c>
      <c r="O65" s="17"/>
      <c r="P65" s="17" t="s">
        <v>98</v>
      </c>
      <c r="Q65" s="32"/>
      <c r="R65" s="17">
        <v>74.0</v>
      </c>
    </row>
    <row r="66" ht="15.75" customHeight="1">
      <c r="A66" s="17" t="s">
        <v>531</v>
      </c>
      <c r="B66" s="17" t="s">
        <v>82</v>
      </c>
      <c r="C66" s="17" t="s">
        <v>246</v>
      </c>
      <c r="D66" s="17" t="s">
        <v>401</v>
      </c>
      <c r="E66" s="17" t="s">
        <v>44</v>
      </c>
      <c r="F66" s="30">
        <v>1.0</v>
      </c>
      <c r="G66" s="31">
        <v>3.12</v>
      </c>
      <c r="H66" s="31">
        <f t="shared" si="2"/>
        <v>3.12</v>
      </c>
      <c r="I66" s="17" t="s">
        <v>59</v>
      </c>
      <c r="J66" s="17" t="s">
        <v>60</v>
      </c>
      <c r="K66" s="9" t="s">
        <v>64</v>
      </c>
      <c r="L66" s="17" t="s">
        <v>66</v>
      </c>
      <c r="M66" s="21" t="s">
        <v>121</v>
      </c>
      <c r="N66" s="17" t="s">
        <v>402</v>
      </c>
      <c r="O66" s="17"/>
      <c r="P66" s="17" t="s">
        <v>98</v>
      </c>
      <c r="Q66" s="32"/>
      <c r="R66" s="17">
        <v>75.0</v>
      </c>
    </row>
    <row r="67" ht="15.75" customHeight="1">
      <c r="A67" s="17" t="s">
        <v>532</v>
      </c>
      <c r="B67" s="17" t="s">
        <v>82</v>
      </c>
      <c r="C67" s="17" t="s">
        <v>523</v>
      </c>
      <c r="D67" s="17" t="s">
        <v>403</v>
      </c>
      <c r="E67" s="17" t="s">
        <v>44</v>
      </c>
      <c r="F67" s="30">
        <v>1.0</v>
      </c>
      <c r="G67" s="31">
        <v>5.63</v>
      </c>
      <c r="H67" s="31">
        <f t="shared" si="2"/>
        <v>5.63</v>
      </c>
      <c r="I67" s="17" t="s">
        <v>59</v>
      </c>
      <c r="J67" s="17" t="s">
        <v>60</v>
      </c>
      <c r="K67" s="9" t="s">
        <v>64</v>
      </c>
      <c r="L67" s="17" t="s">
        <v>66</v>
      </c>
      <c r="M67" s="21" t="s">
        <v>121</v>
      </c>
      <c r="N67" s="17" t="s">
        <v>404</v>
      </c>
      <c r="O67" s="17"/>
      <c r="P67" s="17" t="s">
        <v>98</v>
      </c>
      <c r="Q67" s="32"/>
      <c r="R67" s="17">
        <v>76.0</v>
      </c>
    </row>
    <row r="68" ht="15.75" customHeight="1">
      <c r="A68" s="17" t="s">
        <v>533</v>
      </c>
      <c r="B68" s="17" t="s">
        <v>82</v>
      </c>
      <c r="C68" s="17" t="s">
        <v>523</v>
      </c>
      <c r="D68" s="17" t="s">
        <v>405</v>
      </c>
      <c r="E68" s="17" t="s">
        <v>44</v>
      </c>
      <c r="F68" s="30">
        <v>1.0</v>
      </c>
      <c r="G68" s="31">
        <v>7.48</v>
      </c>
      <c r="H68" s="31">
        <f t="shared" si="2"/>
        <v>7.48</v>
      </c>
      <c r="I68" s="17" t="s">
        <v>51</v>
      </c>
      <c r="J68" s="17" t="s">
        <v>60</v>
      </c>
      <c r="K68" s="9" t="s">
        <v>64</v>
      </c>
      <c r="L68" s="17" t="s">
        <v>66</v>
      </c>
      <c r="M68" s="21" t="s">
        <v>121</v>
      </c>
      <c r="N68" s="17" t="s">
        <v>406</v>
      </c>
      <c r="O68" s="17"/>
      <c r="P68" s="17" t="s">
        <v>98</v>
      </c>
      <c r="Q68" s="32"/>
      <c r="R68" s="17">
        <v>77.0</v>
      </c>
    </row>
    <row r="69" ht="15.75" customHeight="1">
      <c r="A69" s="17" t="s">
        <v>534</v>
      </c>
      <c r="B69" s="17" t="s">
        <v>82</v>
      </c>
      <c r="C69" s="17" t="s">
        <v>135</v>
      </c>
      <c r="D69" s="17" t="s">
        <v>407</v>
      </c>
      <c r="E69" s="17" t="s">
        <v>44</v>
      </c>
      <c r="F69" s="30">
        <v>4.0</v>
      </c>
      <c r="G69" s="31">
        <v>19.97</v>
      </c>
      <c r="H69" s="31">
        <f t="shared" si="2"/>
        <v>79.88</v>
      </c>
      <c r="I69" s="17" t="s">
        <v>138</v>
      </c>
      <c r="J69" s="17" t="s">
        <v>60</v>
      </c>
      <c r="K69" s="9" t="s">
        <v>64</v>
      </c>
      <c r="L69" s="17" t="s">
        <v>66</v>
      </c>
      <c r="M69" s="21" t="s">
        <v>346</v>
      </c>
      <c r="N69" s="17" t="s">
        <v>409</v>
      </c>
      <c r="O69" s="17"/>
      <c r="P69" s="17" t="s">
        <v>98</v>
      </c>
      <c r="Q69" s="32"/>
      <c r="R69" s="17">
        <v>78.0</v>
      </c>
    </row>
    <row r="70" ht="15.75" customHeight="1">
      <c r="A70" s="17" t="s">
        <v>535</v>
      </c>
      <c r="B70" s="17" t="s">
        <v>82</v>
      </c>
      <c r="C70" s="17" t="s">
        <v>523</v>
      </c>
      <c r="D70" s="17" t="s">
        <v>410</v>
      </c>
      <c r="E70" s="17" t="s">
        <v>44</v>
      </c>
      <c r="F70" s="30">
        <v>1.0</v>
      </c>
      <c r="G70" s="33">
        <v>14.99</v>
      </c>
      <c r="H70" s="31">
        <f t="shared" si="2"/>
        <v>14.99</v>
      </c>
      <c r="I70" s="17" t="s">
        <v>59</v>
      </c>
      <c r="J70" s="17" t="s">
        <v>60</v>
      </c>
      <c r="K70" s="9" t="s">
        <v>64</v>
      </c>
      <c r="L70" s="17" t="s">
        <v>66</v>
      </c>
      <c r="M70" s="21" t="s">
        <v>121</v>
      </c>
      <c r="N70" s="36" t="s">
        <v>536</v>
      </c>
      <c r="O70" s="17"/>
      <c r="P70" s="17" t="s">
        <v>98</v>
      </c>
      <c r="Q70" s="32"/>
      <c r="R70" s="17">
        <v>79.0</v>
      </c>
    </row>
    <row r="71" ht="15.75" customHeight="1">
      <c r="A71" s="17" t="s">
        <v>537</v>
      </c>
      <c r="B71" s="17" t="s">
        <v>82</v>
      </c>
      <c r="C71" s="17" t="s">
        <v>523</v>
      </c>
      <c r="D71" s="17" t="s">
        <v>412</v>
      </c>
      <c r="E71" s="17" t="s">
        <v>44</v>
      </c>
      <c r="F71" s="30">
        <v>1.0</v>
      </c>
      <c r="G71" s="31">
        <v>49.57</v>
      </c>
      <c r="H71" s="31">
        <f t="shared" si="2"/>
        <v>49.57</v>
      </c>
      <c r="I71" s="17" t="s">
        <v>51</v>
      </c>
      <c r="J71" s="17" t="s">
        <v>60</v>
      </c>
      <c r="K71" s="9" t="s">
        <v>64</v>
      </c>
      <c r="L71" s="17" t="s">
        <v>66</v>
      </c>
      <c r="M71" s="21" t="s">
        <v>121</v>
      </c>
      <c r="N71" s="17" t="s">
        <v>413</v>
      </c>
      <c r="O71" s="17"/>
      <c r="P71" s="17" t="s">
        <v>98</v>
      </c>
      <c r="Q71" s="32"/>
      <c r="R71" s="17">
        <v>80.0</v>
      </c>
    </row>
    <row r="72" ht="15.75" customHeight="1">
      <c r="A72" s="17" t="s">
        <v>538</v>
      </c>
      <c r="B72" s="17" t="s">
        <v>82</v>
      </c>
      <c r="C72" s="17" t="s">
        <v>523</v>
      </c>
      <c r="D72" s="17" t="s">
        <v>414</v>
      </c>
      <c r="E72" s="17" t="s">
        <v>44</v>
      </c>
      <c r="F72" s="30">
        <v>1.0</v>
      </c>
      <c r="G72" s="31">
        <v>65.0</v>
      </c>
      <c r="H72" s="31">
        <f t="shared" si="2"/>
        <v>65</v>
      </c>
      <c r="I72" s="17" t="s">
        <v>59</v>
      </c>
      <c r="J72" s="17" t="s">
        <v>60</v>
      </c>
      <c r="K72" s="9" t="s">
        <v>64</v>
      </c>
      <c r="L72" s="17" t="s">
        <v>66</v>
      </c>
      <c r="M72" s="21" t="s">
        <v>121</v>
      </c>
      <c r="N72" s="17" t="s">
        <v>415</v>
      </c>
      <c r="O72" s="17"/>
      <c r="P72" s="17" t="s">
        <v>98</v>
      </c>
      <c r="Q72" s="32"/>
      <c r="R72" s="17">
        <v>81.0</v>
      </c>
    </row>
    <row r="73" ht="15.75" customHeight="1">
      <c r="A73" s="17" t="s">
        <v>539</v>
      </c>
      <c r="B73" s="17" t="s">
        <v>82</v>
      </c>
      <c r="C73" s="17" t="s">
        <v>523</v>
      </c>
      <c r="D73" s="17" t="s">
        <v>417</v>
      </c>
      <c r="E73" s="17" t="s">
        <v>44</v>
      </c>
      <c r="F73" s="30">
        <v>1.0</v>
      </c>
      <c r="G73" s="33">
        <v>15.99</v>
      </c>
      <c r="H73" s="31">
        <f t="shared" si="2"/>
        <v>15.99</v>
      </c>
      <c r="I73" s="17" t="s">
        <v>59</v>
      </c>
      <c r="J73" s="17" t="s">
        <v>60</v>
      </c>
      <c r="K73" s="9" t="s">
        <v>64</v>
      </c>
      <c r="L73" s="17" t="s">
        <v>66</v>
      </c>
      <c r="M73" s="21" t="s">
        <v>121</v>
      </c>
      <c r="N73" s="36" t="s">
        <v>540</v>
      </c>
      <c r="O73" s="17"/>
      <c r="P73" s="17" t="s">
        <v>98</v>
      </c>
      <c r="Q73" s="32"/>
      <c r="R73" s="17">
        <v>82.0</v>
      </c>
    </row>
    <row r="74" ht="15.75" customHeight="1">
      <c r="A74" s="17" t="s">
        <v>541</v>
      </c>
      <c r="B74" s="17" t="s">
        <v>82</v>
      </c>
      <c r="C74" s="17" t="s">
        <v>135</v>
      </c>
      <c r="D74" s="17" t="s">
        <v>419</v>
      </c>
      <c r="E74" s="17" t="s">
        <v>44</v>
      </c>
      <c r="F74" s="30">
        <v>2.0</v>
      </c>
      <c r="G74" s="31">
        <v>6.88</v>
      </c>
      <c r="H74" s="31">
        <f t="shared" si="2"/>
        <v>13.76</v>
      </c>
      <c r="I74" s="17" t="s">
        <v>138</v>
      </c>
      <c r="J74" s="17" t="s">
        <v>60</v>
      </c>
      <c r="K74" s="9" t="s">
        <v>64</v>
      </c>
      <c r="L74" s="17" t="s">
        <v>66</v>
      </c>
      <c r="M74" s="21" t="s">
        <v>121</v>
      </c>
      <c r="N74" s="17" t="s">
        <v>420</v>
      </c>
      <c r="O74" s="17"/>
      <c r="P74" s="17" t="s">
        <v>98</v>
      </c>
      <c r="Q74" s="32"/>
      <c r="R74" s="17">
        <v>83.0</v>
      </c>
    </row>
    <row r="75" ht="15.75" customHeight="1">
      <c r="A75" s="17" t="s">
        <v>542</v>
      </c>
      <c r="B75" s="17" t="s">
        <v>82</v>
      </c>
      <c r="C75" s="17" t="s">
        <v>354</v>
      </c>
      <c r="D75" s="17" t="s">
        <v>421</v>
      </c>
      <c r="E75" s="17" t="s">
        <v>119</v>
      </c>
      <c r="F75" s="30">
        <v>1.0</v>
      </c>
      <c r="G75" s="31">
        <v>18.56</v>
      </c>
      <c r="H75" s="31">
        <f t="shared" si="2"/>
        <v>18.56</v>
      </c>
      <c r="I75" s="17" t="s">
        <v>59</v>
      </c>
      <c r="J75" s="17" t="s">
        <v>60</v>
      </c>
      <c r="K75" s="9" t="s">
        <v>64</v>
      </c>
      <c r="L75" s="17" t="s">
        <v>66</v>
      </c>
      <c r="M75" s="21" t="s">
        <v>121</v>
      </c>
      <c r="N75" s="17" t="s">
        <v>422</v>
      </c>
      <c r="O75" s="17"/>
      <c r="P75" s="17" t="s">
        <v>98</v>
      </c>
      <c r="Q75" s="32"/>
      <c r="R75" s="17">
        <v>84.0</v>
      </c>
    </row>
    <row r="76" ht="15.75" customHeight="1">
      <c r="A76" s="17" t="s">
        <v>543</v>
      </c>
      <c r="B76" s="17" t="s">
        <v>82</v>
      </c>
      <c r="C76" s="17" t="s">
        <v>425</v>
      </c>
      <c r="D76" s="17" t="s">
        <v>423</v>
      </c>
      <c r="E76" s="17" t="s">
        <v>119</v>
      </c>
      <c r="F76" s="37">
        <v>3.0</v>
      </c>
      <c r="G76" s="31">
        <v>8.99</v>
      </c>
      <c r="H76" s="31">
        <f t="shared" si="2"/>
        <v>26.97</v>
      </c>
      <c r="I76" s="17" t="s">
        <v>59</v>
      </c>
      <c r="J76" s="17" t="s">
        <v>60</v>
      </c>
      <c r="K76" s="9" t="s">
        <v>64</v>
      </c>
      <c r="L76" s="17" t="s">
        <v>429</v>
      </c>
      <c r="M76" s="21" t="s">
        <v>121</v>
      </c>
      <c r="N76" s="17" t="s">
        <v>327</v>
      </c>
      <c r="O76" s="17"/>
      <c r="P76" s="17" t="s">
        <v>98</v>
      </c>
      <c r="Q76" s="32"/>
      <c r="R76" s="17">
        <v>85.0</v>
      </c>
    </row>
    <row r="77" ht="15.75" customHeight="1">
      <c r="A77" s="17" t="s">
        <v>544</v>
      </c>
      <c r="B77" s="17" t="s">
        <v>82</v>
      </c>
      <c r="C77" s="17" t="s">
        <v>425</v>
      </c>
      <c r="D77" s="17" t="s">
        <v>426</v>
      </c>
      <c r="E77" s="17" t="s">
        <v>119</v>
      </c>
      <c r="F77" s="30">
        <v>1.0</v>
      </c>
      <c r="G77" s="31">
        <v>16.28</v>
      </c>
      <c r="H77" s="31">
        <f t="shared" si="2"/>
        <v>16.28</v>
      </c>
      <c r="I77" s="17" t="s">
        <v>59</v>
      </c>
      <c r="J77" s="17" t="s">
        <v>60</v>
      </c>
      <c r="K77" s="9" t="s">
        <v>64</v>
      </c>
      <c r="L77" s="17" t="s">
        <v>429</v>
      </c>
      <c r="M77" s="21" t="s">
        <v>444</v>
      </c>
      <c r="N77" s="17" t="s">
        <v>427</v>
      </c>
      <c r="O77" s="17"/>
      <c r="P77" s="17" t="s">
        <v>98</v>
      </c>
      <c r="Q77" s="32"/>
      <c r="R77" s="17">
        <v>86.0</v>
      </c>
    </row>
    <row r="78" ht="15.75" customHeight="1">
      <c r="A78" s="17" t="s">
        <v>545</v>
      </c>
      <c r="B78" s="17" t="s">
        <v>82</v>
      </c>
      <c r="C78" s="17" t="s">
        <v>425</v>
      </c>
      <c r="D78" s="17" t="s">
        <v>428</v>
      </c>
      <c r="E78" s="17" t="s">
        <v>119</v>
      </c>
      <c r="F78" s="30">
        <v>2.0</v>
      </c>
      <c r="G78" s="31">
        <v>6.15</v>
      </c>
      <c r="H78" s="31">
        <f t="shared" si="2"/>
        <v>12.3</v>
      </c>
      <c r="I78" s="17" t="s">
        <v>59</v>
      </c>
      <c r="J78" s="17" t="s">
        <v>60</v>
      </c>
      <c r="K78" s="9" t="s">
        <v>64</v>
      </c>
      <c r="L78" s="17" t="s">
        <v>429</v>
      </c>
      <c r="M78" s="21" t="s">
        <v>444</v>
      </c>
      <c r="N78" s="17" t="s">
        <v>430</v>
      </c>
      <c r="O78" s="17"/>
      <c r="P78" s="17" t="s">
        <v>98</v>
      </c>
      <c r="Q78" s="32"/>
      <c r="R78" s="17">
        <v>87.0</v>
      </c>
    </row>
    <row r="79" ht="15.75" customHeight="1">
      <c r="A79" s="17" t="s">
        <v>546</v>
      </c>
      <c r="B79" s="17" t="s">
        <v>82</v>
      </c>
      <c r="C79" s="17" t="s">
        <v>523</v>
      </c>
      <c r="D79" s="17" t="s">
        <v>431</v>
      </c>
      <c r="E79" s="20" t="s">
        <v>119</v>
      </c>
      <c r="F79" s="30">
        <v>1.0</v>
      </c>
      <c r="G79" s="33">
        <v>69.99</v>
      </c>
      <c r="H79" s="31">
        <f t="shared" si="2"/>
        <v>69.99</v>
      </c>
      <c r="I79" s="17" t="s">
        <v>59</v>
      </c>
      <c r="J79" s="20" t="s">
        <v>60</v>
      </c>
      <c r="K79" s="9" t="s">
        <v>64</v>
      </c>
      <c r="L79" s="17" t="s">
        <v>66</v>
      </c>
      <c r="M79" s="21" t="s">
        <v>121</v>
      </c>
      <c r="N79" s="36" t="s">
        <v>547</v>
      </c>
      <c r="O79" s="17"/>
      <c r="P79" s="17" t="s">
        <v>98</v>
      </c>
      <c r="Q79" s="32"/>
      <c r="R79" s="17">
        <v>88.0</v>
      </c>
    </row>
    <row r="80" ht="15.75" customHeight="1">
      <c r="A80" s="17" t="s">
        <v>548</v>
      </c>
      <c r="B80" s="17" t="s">
        <v>82</v>
      </c>
      <c r="C80" s="17" t="s">
        <v>523</v>
      </c>
      <c r="D80" s="17" t="s">
        <v>434</v>
      </c>
      <c r="E80" s="17" t="s">
        <v>119</v>
      </c>
      <c r="F80" s="30">
        <v>1.0</v>
      </c>
      <c r="G80" s="31">
        <v>14.99</v>
      </c>
      <c r="H80" s="31">
        <f t="shared" si="2"/>
        <v>14.99</v>
      </c>
      <c r="I80" s="17" t="s">
        <v>59</v>
      </c>
      <c r="J80" s="17" t="s">
        <v>60</v>
      </c>
      <c r="K80" s="9" t="s">
        <v>64</v>
      </c>
      <c r="L80" s="17" t="s">
        <v>66</v>
      </c>
      <c r="M80" s="21" t="s">
        <v>121</v>
      </c>
      <c r="N80" s="17" t="s">
        <v>435</v>
      </c>
      <c r="O80" s="17"/>
      <c r="P80" s="17" t="s">
        <v>98</v>
      </c>
      <c r="Q80" s="32"/>
      <c r="R80" s="17">
        <v>89.0</v>
      </c>
    </row>
    <row r="81" ht="15.75" customHeight="1">
      <c r="A81" s="17" t="s">
        <v>549</v>
      </c>
      <c r="B81" s="17" t="s">
        <v>82</v>
      </c>
      <c r="C81" s="17" t="s">
        <v>523</v>
      </c>
      <c r="D81" s="17" t="s">
        <v>436</v>
      </c>
      <c r="E81" s="17" t="s">
        <v>119</v>
      </c>
      <c r="F81" s="30">
        <v>1.0</v>
      </c>
      <c r="G81" s="31">
        <v>44.99</v>
      </c>
      <c r="H81" s="31">
        <f t="shared" si="2"/>
        <v>44.99</v>
      </c>
      <c r="I81" s="17" t="s">
        <v>59</v>
      </c>
      <c r="J81" s="17" t="s">
        <v>60</v>
      </c>
      <c r="K81" s="9" t="s">
        <v>64</v>
      </c>
      <c r="L81" s="17" t="s">
        <v>66</v>
      </c>
      <c r="M81" s="21" t="s">
        <v>346</v>
      </c>
      <c r="N81" s="17" t="s">
        <v>437</v>
      </c>
      <c r="O81" s="17"/>
      <c r="P81" s="17" t="s">
        <v>98</v>
      </c>
      <c r="Q81" s="32"/>
      <c r="R81" s="17">
        <v>90.0</v>
      </c>
    </row>
    <row r="82" ht="15.75" customHeight="1">
      <c r="A82" s="17" t="s">
        <v>550</v>
      </c>
      <c r="B82" s="17" t="s">
        <v>82</v>
      </c>
      <c r="C82" s="17" t="s">
        <v>425</v>
      </c>
      <c r="D82" s="17" t="s">
        <v>438</v>
      </c>
      <c r="E82" s="17" t="s">
        <v>119</v>
      </c>
      <c r="F82" s="30">
        <v>1.0</v>
      </c>
      <c r="G82" s="31">
        <v>12.99</v>
      </c>
      <c r="H82" s="31">
        <f t="shared" si="2"/>
        <v>12.99</v>
      </c>
      <c r="I82" s="17" t="s">
        <v>59</v>
      </c>
      <c r="J82" s="17" t="s">
        <v>60</v>
      </c>
      <c r="K82" s="9" t="s">
        <v>64</v>
      </c>
      <c r="L82" s="17" t="s">
        <v>429</v>
      </c>
      <c r="M82" s="21" t="s">
        <v>346</v>
      </c>
      <c r="N82" s="17" t="s">
        <v>439</v>
      </c>
      <c r="O82" s="17"/>
      <c r="P82" s="17" t="s">
        <v>98</v>
      </c>
      <c r="Q82" s="32"/>
      <c r="R82" s="17">
        <v>91.0</v>
      </c>
    </row>
    <row r="83" ht="15.75" customHeight="1">
      <c r="A83" s="17" t="s">
        <v>551</v>
      </c>
      <c r="B83" s="17" t="s">
        <v>82</v>
      </c>
      <c r="C83" s="17" t="s">
        <v>425</v>
      </c>
      <c r="D83" s="17" t="s">
        <v>440</v>
      </c>
      <c r="E83" s="17" t="s">
        <v>119</v>
      </c>
      <c r="F83" s="30">
        <v>1.0</v>
      </c>
      <c r="G83" s="31">
        <v>4.97</v>
      </c>
      <c r="H83" s="31">
        <f t="shared" si="2"/>
        <v>4.97</v>
      </c>
      <c r="I83" s="17" t="s">
        <v>59</v>
      </c>
      <c r="J83" s="17" t="s">
        <v>60</v>
      </c>
      <c r="K83" s="9" t="s">
        <v>64</v>
      </c>
      <c r="L83" s="17" t="s">
        <v>429</v>
      </c>
      <c r="M83" s="21" t="s">
        <v>346</v>
      </c>
      <c r="N83" s="17" t="s">
        <v>442</v>
      </c>
      <c r="O83" s="17"/>
      <c r="P83" s="17" t="s">
        <v>98</v>
      </c>
      <c r="Q83" s="32"/>
      <c r="R83" s="17">
        <v>92.0</v>
      </c>
    </row>
    <row r="84" ht="15.75" customHeight="1">
      <c r="A84" s="17" t="s">
        <v>552</v>
      </c>
      <c r="B84" s="17" t="s">
        <v>82</v>
      </c>
      <c r="C84" s="17" t="s">
        <v>523</v>
      </c>
      <c r="D84" s="17" t="s">
        <v>443</v>
      </c>
      <c r="E84" s="17" t="s">
        <v>119</v>
      </c>
      <c r="F84" s="30">
        <v>1.0</v>
      </c>
      <c r="G84" s="31">
        <v>28.99</v>
      </c>
      <c r="H84" s="31">
        <f t="shared" si="2"/>
        <v>28.99</v>
      </c>
      <c r="I84" s="17" t="s">
        <v>59</v>
      </c>
      <c r="J84" s="17" t="s">
        <v>60</v>
      </c>
      <c r="K84" s="9" t="s">
        <v>64</v>
      </c>
      <c r="L84" s="17" t="s">
        <v>66</v>
      </c>
      <c r="M84" s="21" t="s">
        <v>121</v>
      </c>
      <c r="N84" s="17" t="s">
        <v>445</v>
      </c>
      <c r="O84" s="17"/>
      <c r="P84" s="17" t="s">
        <v>98</v>
      </c>
      <c r="Q84" s="32"/>
      <c r="R84" s="17">
        <v>93.0</v>
      </c>
    </row>
    <row r="85" ht="15.75" customHeight="1">
      <c r="A85" s="17" t="s">
        <v>553</v>
      </c>
      <c r="B85" s="17" t="s">
        <v>82</v>
      </c>
      <c r="C85" s="17" t="s">
        <v>523</v>
      </c>
      <c r="D85" s="17" t="s">
        <v>447</v>
      </c>
      <c r="E85" s="17" t="s">
        <v>119</v>
      </c>
      <c r="F85" s="30">
        <v>2.0</v>
      </c>
      <c r="G85" s="31">
        <v>13.99</v>
      </c>
      <c r="H85" s="31">
        <f t="shared" si="2"/>
        <v>27.98</v>
      </c>
      <c r="I85" s="17" t="s">
        <v>51</v>
      </c>
      <c r="J85" s="17" t="s">
        <v>60</v>
      </c>
      <c r="K85" s="9" t="s">
        <v>64</v>
      </c>
      <c r="L85" s="17" t="s">
        <v>66</v>
      </c>
      <c r="M85" s="21" t="s">
        <v>121</v>
      </c>
      <c r="N85" s="17" t="s">
        <v>448</v>
      </c>
      <c r="O85" s="17"/>
      <c r="P85" s="17" t="s">
        <v>98</v>
      </c>
      <c r="Q85" s="32"/>
      <c r="R85" s="17">
        <v>94.0</v>
      </c>
    </row>
    <row r="86" ht="15.75" customHeight="1">
      <c r="A86" s="17" t="s">
        <v>554</v>
      </c>
      <c r="B86" s="17" t="s">
        <v>82</v>
      </c>
      <c r="C86" s="17" t="s">
        <v>425</v>
      </c>
      <c r="D86" s="17" t="s">
        <v>449</v>
      </c>
      <c r="E86" s="17" t="s">
        <v>119</v>
      </c>
      <c r="F86" s="30">
        <v>1.0</v>
      </c>
      <c r="G86" s="31">
        <v>26.49</v>
      </c>
      <c r="H86" s="31">
        <f t="shared" si="2"/>
        <v>26.49</v>
      </c>
      <c r="I86" s="17" t="s">
        <v>59</v>
      </c>
      <c r="J86" s="17" t="s">
        <v>60</v>
      </c>
      <c r="K86" s="9" t="s">
        <v>64</v>
      </c>
      <c r="L86" s="17" t="s">
        <v>429</v>
      </c>
      <c r="M86" s="21" t="s">
        <v>346</v>
      </c>
      <c r="N86" s="17" t="s">
        <v>450</v>
      </c>
      <c r="O86" s="17"/>
      <c r="P86" s="17" t="s">
        <v>98</v>
      </c>
      <c r="Q86" s="32"/>
      <c r="R86" s="17">
        <v>95.0</v>
      </c>
    </row>
    <row r="87" ht="15.75" customHeight="1">
      <c r="A87" s="17" t="s">
        <v>555</v>
      </c>
      <c r="B87" s="17" t="s">
        <v>82</v>
      </c>
      <c r="C87" s="17" t="s">
        <v>354</v>
      </c>
      <c r="D87" s="17" t="s">
        <v>451</v>
      </c>
      <c r="E87" s="17" t="s">
        <v>119</v>
      </c>
      <c r="F87" s="30">
        <v>1.0</v>
      </c>
      <c r="G87" s="31">
        <v>33.98</v>
      </c>
      <c r="H87" s="31">
        <f t="shared" si="2"/>
        <v>33.98</v>
      </c>
      <c r="I87" s="17" t="s">
        <v>59</v>
      </c>
      <c r="J87" s="17" t="s">
        <v>60</v>
      </c>
      <c r="K87" s="9" t="s">
        <v>64</v>
      </c>
      <c r="L87" s="17" t="s">
        <v>66</v>
      </c>
      <c r="M87" s="21" t="s">
        <v>71</v>
      </c>
      <c r="N87" s="17" t="s">
        <v>453</v>
      </c>
      <c r="O87" s="17"/>
      <c r="P87" s="17" t="s">
        <v>98</v>
      </c>
      <c r="Q87" s="32"/>
      <c r="R87" s="17">
        <v>96.0</v>
      </c>
    </row>
    <row r="88" ht="15.75" customHeight="1">
      <c r="A88" s="17" t="s">
        <v>556</v>
      </c>
      <c r="B88" s="17" t="s">
        <v>82</v>
      </c>
      <c r="C88" s="17" t="s">
        <v>354</v>
      </c>
      <c r="D88" s="17" t="s">
        <v>454</v>
      </c>
      <c r="E88" s="17" t="s">
        <v>119</v>
      </c>
      <c r="F88" s="30">
        <v>1.0</v>
      </c>
      <c r="G88" s="33">
        <v>26.99</v>
      </c>
      <c r="H88" s="31">
        <f t="shared" si="2"/>
        <v>26.99</v>
      </c>
      <c r="I88" s="17" t="s">
        <v>59</v>
      </c>
      <c r="J88" s="17" t="s">
        <v>60</v>
      </c>
      <c r="K88" s="9" t="s">
        <v>64</v>
      </c>
      <c r="L88" s="17" t="s">
        <v>66</v>
      </c>
      <c r="M88" s="21" t="s">
        <v>121</v>
      </c>
      <c r="N88" s="20" t="s">
        <v>557</v>
      </c>
      <c r="O88" s="17"/>
      <c r="P88" s="17" t="s">
        <v>98</v>
      </c>
      <c r="Q88" s="32"/>
      <c r="R88" s="17">
        <v>97.0</v>
      </c>
    </row>
    <row r="89" ht="15.75" customHeight="1">
      <c r="A89" s="17" t="s">
        <v>558</v>
      </c>
      <c r="B89" s="17" t="s">
        <v>82</v>
      </c>
      <c r="C89" s="17" t="s">
        <v>135</v>
      </c>
      <c r="D89" s="17" t="s">
        <v>456</v>
      </c>
      <c r="E89" s="17" t="s">
        <v>119</v>
      </c>
      <c r="F89" s="30">
        <v>1.0</v>
      </c>
      <c r="G89" s="31">
        <v>6.98</v>
      </c>
      <c r="H89" s="31">
        <f t="shared" si="2"/>
        <v>6.98</v>
      </c>
      <c r="I89" s="17" t="s">
        <v>138</v>
      </c>
      <c r="J89" s="17" t="s">
        <v>60</v>
      </c>
      <c r="K89" s="9" t="s">
        <v>64</v>
      </c>
      <c r="L89" s="17" t="s">
        <v>66</v>
      </c>
      <c r="M89" s="21" t="s">
        <v>121</v>
      </c>
      <c r="N89" s="17" t="s">
        <v>457</v>
      </c>
      <c r="O89" s="17"/>
      <c r="P89" s="17" t="s">
        <v>98</v>
      </c>
      <c r="Q89" s="32"/>
      <c r="R89" s="17">
        <v>98.0</v>
      </c>
    </row>
    <row r="90" ht="15.75" customHeight="1">
      <c r="A90" s="17" t="s">
        <v>559</v>
      </c>
      <c r="B90" s="17" t="s">
        <v>82</v>
      </c>
      <c r="C90" s="17" t="s">
        <v>425</v>
      </c>
      <c r="D90" s="17" t="s">
        <v>459</v>
      </c>
      <c r="E90" s="17" t="s">
        <v>119</v>
      </c>
      <c r="F90" s="30">
        <v>1.0</v>
      </c>
      <c r="G90" s="31">
        <v>9.99</v>
      </c>
      <c r="H90" s="31">
        <f t="shared" si="2"/>
        <v>9.99</v>
      </c>
      <c r="I90" s="17" t="s">
        <v>59</v>
      </c>
      <c r="J90" s="17" t="s">
        <v>60</v>
      </c>
      <c r="K90" s="9" t="s">
        <v>64</v>
      </c>
      <c r="L90" s="17" t="s">
        <v>429</v>
      </c>
      <c r="M90" s="21" t="s">
        <v>346</v>
      </c>
      <c r="N90" s="17" t="s">
        <v>460</v>
      </c>
      <c r="O90" s="17"/>
      <c r="P90" s="17" t="s">
        <v>98</v>
      </c>
      <c r="Q90" s="32"/>
      <c r="R90" s="17">
        <v>99.0</v>
      </c>
    </row>
    <row r="91" ht="15.75" customHeight="1">
      <c r="A91" s="17" t="s">
        <v>560</v>
      </c>
      <c r="B91" s="17" t="s">
        <v>82</v>
      </c>
      <c r="C91" s="17" t="s">
        <v>135</v>
      </c>
      <c r="D91" s="17" t="s">
        <v>462</v>
      </c>
      <c r="E91" s="17" t="s">
        <v>119</v>
      </c>
      <c r="F91" s="30">
        <v>1.0</v>
      </c>
      <c r="G91" s="31">
        <v>11.69</v>
      </c>
      <c r="H91" s="31">
        <f t="shared" si="2"/>
        <v>11.69</v>
      </c>
      <c r="I91" s="17" t="s">
        <v>138</v>
      </c>
      <c r="J91" s="17" t="s">
        <v>60</v>
      </c>
      <c r="K91" s="9" t="s">
        <v>64</v>
      </c>
      <c r="L91" s="17" t="s">
        <v>66</v>
      </c>
      <c r="M91" s="21" t="s">
        <v>121</v>
      </c>
      <c r="N91" s="17" t="s">
        <v>463</v>
      </c>
      <c r="O91" s="17"/>
      <c r="P91" s="17" t="s">
        <v>98</v>
      </c>
      <c r="Q91" s="32"/>
      <c r="R91" s="17">
        <v>100.0</v>
      </c>
    </row>
    <row r="92" ht="15.75" customHeight="1">
      <c r="A92" s="17" t="s">
        <v>561</v>
      </c>
      <c r="B92" s="17" t="s">
        <v>82</v>
      </c>
      <c r="C92" s="17" t="s">
        <v>246</v>
      </c>
      <c r="D92" s="17" t="s">
        <v>464</v>
      </c>
      <c r="E92" s="17" t="s">
        <v>119</v>
      </c>
      <c r="F92" s="30">
        <v>1.0</v>
      </c>
      <c r="G92" s="31">
        <v>12.99</v>
      </c>
      <c r="H92" s="31">
        <f t="shared" si="2"/>
        <v>12.99</v>
      </c>
      <c r="I92" s="17" t="s">
        <v>59</v>
      </c>
      <c r="J92" s="17" t="s">
        <v>60</v>
      </c>
      <c r="K92" s="9" t="s">
        <v>64</v>
      </c>
      <c r="L92" s="17" t="s">
        <v>66</v>
      </c>
      <c r="M92" s="21" t="s">
        <v>346</v>
      </c>
      <c r="N92" s="17" t="s">
        <v>465</v>
      </c>
      <c r="O92" s="17"/>
      <c r="P92" s="17" t="s">
        <v>98</v>
      </c>
      <c r="Q92" s="32"/>
      <c r="R92" s="17">
        <v>101.0</v>
      </c>
    </row>
    <row r="93" ht="15.75" customHeight="1">
      <c r="A93" s="17" t="s">
        <v>562</v>
      </c>
      <c r="B93" s="17" t="s">
        <v>82</v>
      </c>
      <c r="C93" s="17" t="s">
        <v>425</v>
      </c>
      <c r="D93" s="17" t="s">
        <v>466</v>
      </c>
      <c r="E93" s="17" t="s">
        <v>161</v>
      </c>
      <c r="F93" s="30">
        <v>1.0</v>
      </c>
      <c r="G93" s="31">
        <v>20.99</v>
      </c>
      <c r="H93" s="31">
        <f t="shared" si="2"/>
        <v>20.99</v>
      </c>
      <c r="I93" s="17" t="s">
        <v>59</v>
      </c>
      <c r="J93" s="17" t="s">
        <v>60</v>
      </c>
      <c r="K93" s="9" t="s">
        <v>64</v>
      </c>
      <c r="L93" s="17" t="s">
        <v>429</v>
      </c>
      <c r="M93" s="21" t="s">
        <v>346</v>
      </c>
      <c r="N93" s="17" t="s">
        <v>467</v>
      </c>
      <c r="O93" s="17"/>
      <c r="P93" s="17" t="s">
        <v>98</v>
      </c>
      <c r="Q93" s="32"/>
      <c r="R93" s="17">
        <v>102.0</v>
      </c>
    </row>
    <row r="94" ht="15.75" customHeight="1">
      <c r="A94" s="17" t="s">
        <v>563</v>
      </c>
      <c r="B94" s="17" t="s">
        <v>82</v>
      </c>
      <c r="C94" s="17" t="s">
        <v>246</v>
      </c>
      <c r="D94" s="17" t="s">
        <v>468</v>
      </c>
      <c r="E94" s="17" t="s">
        <v>44</v>
      </c>
      <c r="F94" s="30">
        <v>1.0</v>
      </c>
      <c r="G94" s="31">
        <v>6.99</v>
      </c>
      <c r="H94" s="31">
        <f t="shared" si="2"/>
        <v>6.99</v>
      </c>
      <c r="I94" s="17" t="s">
        <v>59</v>
      </c>
      <c r="J94" s="17" t="s">
        <v>60</v>
      </c>
      <c r="K94" s="9" t="s">
        <v>64</v>
      </c>
      <c r="L94" s="17" t="s">
        <v>66</v>
      </c>
      <c r="M94" s="21" t="s">
        <v>121</v>
      </c>
      <c r="N94" s="17" t="s">
        <v>469</v>
      </c>
      <c r="O94" s="17"/>
      <c r="P94" s="17" t="s">
        <v>98</v>
      </c>
      <c r="Q94" s="32"/>
      <c r="R94" s="17">
        <v>103.0</v>
      </c>
    </row>
    <row r="95" ht="15.75" customHeight="1">
      <c r="A95" s="17" t="s">
        <v>564</v>
      </c>
      <c r="B95" s="17" t="s">
        <v>82</v>
      </c>
      <c r="C95" s="17" t="s">
        <v>523</v>
      </c>
      <c r="D95" s="17" t="s">
        <v>470</v>
      </c>
      <c r="E95" s="17" t="s">
        <v>44</v>
      </c>
      <c r="F95" s="30">
        <v>1.0</v>
      </c>
      <c r="G95" s="31">
        <v>3.97</v>
      </c>
      <c r="H95" s="31">
        <f t="shared" si="2"/>
        <v>3.97</v>
      </c>
      <c r="I95" s="17" t="s">
        <v>59</v>
      </c>
      <c r="J95" s="17" t="s">
        <v>60</v>
      </c>
      <c r="K95" s="9" t="s">
        <v>64</v>
      </c>
      <c r="L95" s="17" t="s">
        <v>66</v>
      </c>
      <c r="M95" s="21" t="s">
        <v>121</v>
      </c>
      <c r="N95" s="17" t="s">
        <v>471</v>
      </c>
      <c r="O95" s="17"/>
      <c r="P95" s="17" t="s">
        <v>98</v>
      </c>
      <c r="Q95" s="32"/>
      <c r="R95" s="17">
        <v>104.0</v>
      </c>
    </row>
    <row r="96" ht="15.75" customHeight="1">
      <c r="A96" s="17" t="s">
        <v>565</v>
      </c>
      <c r="B96" s="17" t="s">
        <v>82</v>
      </c>
      <c r="C96" s="17" t="s">
        <v>523</v>
      </c>
      <c r="D96" s="17" t="s">
        <v>472</v>
      </c>
      <c r="E96" s="17" t="s">
        <v>44</v>
      </c>
      <c r="F96" s="30">
        <v>1.0</v>
      </c>
      <c r="G96" s="33">
        <v>6.88</v>
      </c>
      <c r="H96" s="31">
        <f t="shared" si="2"/>
        <v>6.88</v>
      </c>
      <c r="I96" s="17" t="s">
        <v>59</v>
      </c>
      <c r="J96" s="17" t="s">
        <v>60</v>
      </c>
      <c r="K96" s="9" t="s">
        <v>64</v>
      </c>
      <c r="L96" s="17" t="s">
        <v>66</v>
      </c>
      <c r="M96" s="21" t="s">
        <v>121</v>
      </c>
      <c r="N96" s="36" t="s">
        <v>566</v>
      </c>
      <c r="O96" s="17"/>
      <c r="P96" s="17" t="s">
        <v>98</v>
      </c>
      <c r="Q96" s="32"/>
      <c r="R96" s="17">
        <v>105.0</v>
      </c>
    </row>
    <row r="97" ht="15.75" customHeight="1">
      <c r="A97" s="17" t="s">
        <v>567</v>
      </c>
      <c r="B97" s="17" t="s">
        <v>82</v>
      </c>
      <c r="C97" s="17" t="s">
        <v>523</v>
      </c>
      <c r="D97" s="17" t="s">
        <v>475</v>
      </c>
      <c r="E97" s="17" t="s">
        <v>44</v>
      </c>
      <c r="F97" s="30">
        <v>1.0</v>
      </c>
      <c r="G97" s="31">
        <v>6.44</v>
      </c>
      <c r="H97" s="31">
        <f t="shared" si="2"/>
        <v>6.44</v>
      </c>
      <c r="I97" s="17" t="s">
        <v>59</v>
      </c>
      <c r="J97" s="17" t="s">
        <v>60</v>
      </c>
      <c r="K97" s="9" t="s">
        <v>64</v>
      </c>
      <c r="L97" s="17" t="s">
        <v>66</v>
      </c>
      <c r="M97" s="21" t="s">
        <v>121</v>
      </c>
      <c r="N97" s="17" t="s">
        <v>476</v>
      </c>
      <c r="O97" s="17"/>
      <c r="P97" s="17" t="s">
        <v>98</v>
      </c>
      <c r="Q97" s="32"/>
      <c r="R97" s="17">
        <v>106.0</v>
      </c>
    </row>
    <row r="98" ht="15.75" customHeight="1">
      <c r="A98" s="17" t="s">
        <v>568</v>
      </c>
      <c r="B98" s="17" t="s">
        <v>82</v>
      </c>
      <c r="C98" s="17" t="s">
        <v>523</v>
      </c>
      <c r="D98" s="17" t="s">
        <v>477</v>
      </c>
      <c r="E98" s="17" t="s">
        <v>44</v>
      </c>
      <c r="F98" s="30">
        <v>1.0</v>
      </c>
      <c r="G98" s="31">
        <v>3.98</v>
      </c>
      <c r="H98" s="31">
        <f t="shared" si="2"/>
        <v>3.98</v>
      </c>
      <c r="I98" s="17" t="s">
        <v>59</v>
      </c>
      <c r="J98" s="17" t="s">
        <v>60</v>
      </c>
      <c r="K98" s="9" t="s">
        <v>64</v>
      </c>
      <c r="L98" s="17" t="s">
        <v>66</v>
      </c>
      <c r="M98" s="21" t="s">
        <v>121</v>
      </c>
      <c r="N98" s="17" t="s">
        <v>478</v>
      </c>
      <c r="O98" s="17"/>
      <c r="P98" s="17" t="s">
        <v>98</v>
      </c>
      <c r="Q98" s="32"/>
      <c r="R98" s="17">
        <v>107.0</v>
      </c>
    </row>
    <row r="99" ht="15.75" customHeight="1">
      <c r="A99" s="17" t="s">
        <v>569</v>
      </c>
      <c r="B99" s="17" t="s">
        <v>82</v>
      </c>
      <c r="C99" s="17" t="s">
        <v>523</v>
      </c>
      <c r="D99" s="17" t="s">
        <v>479</v>
      </c>
      <c r="E99" s="17" t="s">
        <v>44</v>
      </c>
      <c r="F99" s="30">
        <v>1.0</v>
      </c>
      <c r="G99" s="31">
        <v>0.97</v>
      </c>
      <c r="H99" s="31">
        <f t="shared" si="2"/>
        <v>0.97</v>
      </c>
      <c r="I99" s="17" t="s">
        <v>59</v>
      </c>
      <c r="J99" s="17" t="s">
        <v>60</v>
      </c>
      <c r="K99" s="9" t="s">
        <v>64</v>
      </c>
      <c r="L99" s="17" t="s">
        <v>66</v>
      </c>
      <c r="M99" s="21" t="s">
        <v>121</v>
      </c>
      <c r="N99" s="17" t="s">
        <v>480</v>
      </c>
      <c r="O99" s="17"/>
      <c r="P99" s="17" t="s">
        <v>98</v>
      </c>
      <c r="Q99" s="32"/>
      <c r="R99" s="17">
        <v>108.0</v>
      </c>
    </row>
    <row r="100" ht="15.75" customHeight="1">
      <c r="A100" s="17" t="s">
        <v>570</v>
      </c>
      <c r="B100" s="17" t="s">
        <v>82</v>
      </c>
      <c r="C100" s="17" t="s">
        <v>523</v>
      </c>
      <c r="D100" s="17" t="s">
        <v>483</v>
      </c>
      <c r="E100" s="17" t="s">
        <v>44</v>
      </c>
      <c r="F100" s="30">
        <v>1.0</v>
      </c>
      <c r="G100" s="31">
        <v>1.56</v>
      </c>
      <c r="H100" s="31">
        <f t="shared" si="2"/>
        <v>1.56</v>
      </c>
      <c r="I100" s="17" t="s">
        <v>59</v>
      </c>
      <c r="J100" s="17" t="s">
        <v>60</v>
      </c>
      <c r="K100" s="9" t="s">
        <v>64</v>
      </c>
      <c r="L100" s="17" t="s">
        <v>66</v>
      </c>
      <c r="M100" s="21" t="s">
        <v>121</v>
      </c>
      <c r="N100" s="17" t="s">
        <v>484</v>
      </c>
      <c r="O100" s="17"/>
      <c r="P100" s="17" t="s">
        <v>98</v>
      </c>
      <c r="Q100" s="32"/>
      <c r="R100" s="17">
        <v>109.0</v>
      </c>
    </row>
    <row r="101" ht="15.75" customHeight="1">
      <c r="A101" s="17" t="s">
        <v>571</v>
      </c>
      <c r="B101" s="17" t="s">
        <v>82</v>
      </c>
      <c r="C101" s="17" t="s">
        <v>246</v>
      </c>
      <c r="D101" s="17" t="s">
        <v>485</v>
      </c>
      <c r="E101" s="17" t="s">
        <v>44</v>
      </c>
      <c r="F101" s="30">
        <v>1.0</v>
      </c>
      <c r="G101" s="31">
        <v>1.47</v>
      </c>
      <c r="H101" s="31">
        <f t="shared" si="2"/>
        <v>1.47</v>
      </c>
      <c r="I101" s="17" t="s">
        <v>59</v>
      </c>
      <c r="J101" s="17" t="s">
        <v>60</v>
      </c>
      <c r="K101" s="9" t="s">
        <v>64</v>
      </c>
      <c r="L101" s="17" t="s">
        <v>66</v>
      </c>
      <c r="M101" s="21" t="s">
        <v>121</v>
      </c>
      <c r="N101" s="17" t="s">
        <v>486</v>
      </c>
      <c r="O101" s="17"/>
      <c r="P101" s="17" t="s">
        <v>98</v>
      </c>
      <c r="Q101" s="32"/>
      <c r="R101" s="17">
        <v>110.0</v>
      </c>
    </row>
    <row r="102" ht="15.75" customHeight="1">
      <c r="A102" s="17" t="s">
        <v>572</v>
      </c>
      <c r="B102" s="17" t="s">
        <v>82</v>
      </c>
      <c r="C102" s="17" t="s">
        <v>246</v>
      </c>
      <c r="D102" s="17" t="s">
        <v>488</v>
      </c>
      <c r="E102" s="17" t="s">
        <v>44</v>
      </c>
      <c r="F102" s="30">
        <v>1.0</v>
      </c>
      <c r="G102" s="31">
        <v>2.37</v>
      </c>
      <c r="H102" s="31">
        <f t="shared" si="2"/>
        <v>2.37</v>
      </c>
      <c r="I102" s="17" t="s">
        <v>59</v>
      </c>
      <c r="J102" s="17" t="s">
        <v>60</v>
      </c>
      <c r="K102" s="9" t="s">
        <v>64</v>
      </c>
      <c r="L102" s="17" t="s">
        <v>66</v>
      </c>
      <c r="M102" s="21" t="s">
        <v>121</v>
      </c>
      <c r="N102" s="17" t="s">
        <v>489</v>
      </c>
      <c r="O102" s="17"/>
      <c r="P102" s="17" t="s">
        <v>98</v>
      </c>
      <c r="Q102" s="32"/>
      <c r="R102" s="17">
        <v>111.0</v>
      </c>
    </row>
    <row r="103" ht="15.75" customHeight="1">
      <c r="A103" s="17" t="s">
        <v>573</v>
      </c>
      <c r="B103" s="17" t="s">
        <v>82</v>
      </c>
      <c r="C103" s="17" t="s">
        <v>523</v>
      </c>
      <c r="D103" s="17" t="s">
        <v>490</v>
      </c>
      <c r="E103" s="17" t="s">
        <v>119</v>
      </c>
      <c r="F103" s="30">
        <v>1.0</v>
      </c>
      <c r="G103" s="31">
        <v>9.98</v>
      </c>
      <c r="H103" s="31">
        <f t="shared" si="2"/>
        <v>9.98</v>
      </c>
      <c r="I103" s="17" t="s">
        <v>59</v>
      </c>
      <c r="J103" s="17" t="s">
        <v>60</v>
      </c>
      <c r="K103" s="9" t="s">
        <v>64</v>
      </c>
      <c r="L103" s="17" t="s">
        <v>66</v>
      </c>
      <c r="M103" s="21" t="s">
        <v>121</v>
      </c>
      <c r="N103" s="17" t="s">
        <v>491</v>
      </c>
      <c r="O103" s="17"/>
      <c r="P103" s="17" t="s">
        <v>98</v>
      </c>
      <c r="Q103" s="32"/>
      <c r="R103" s="17">
        <v>112.0</v>
      </c>
    </row>
    <row r="104" ht="15.75" customHeight="1">
      <c r="A104" s="17" t="s">
        <v>574</v>
      </c>
      <c r="B104" s="17" t="s">
        <v>82</v>
      </c>
      <c r="C104" s="17" t="s">
        <v>523</v>
      </c>
      <c r="D104" s="17" t="s">
        <v>390</v>
      </c>
      <c r="E104" s="17" t="s">
        <v>119</v>
      </c>
      <c r="F104" s="30">
        <v>1.0</v>
      </c>
      <c r="G104" s="31">
        <v>33.99</v>
      </c>
      <c r="H104" s="31">
        <f t="shared" si="2"/>
        <v>33.99</v>
      </c>
      <c r="I104" s="17" t="s">
        <v>51</v>
      </c>
      <c r="J104" s="17" t="s">
        <v>60</v>
      </c>
      <c r="K104" s="9" t="s">
        <v>64</v>
      </c>
      <c r="L104" s="17" t="s">
        <v>66</v>
      </c>
      <c r="M104" s="21" t="s">
        <v>121</v>
      </c>
      <c r="N104" s="17" t="s">
        <v>492</v>
      </c>
      <c r="O104" s="17"/>
      <c r="P104" s="17" t="s">
        <v>98</v>
      </c>
      <c r="Q104" s="32"/>
      <c r="R104" s="17">
        <v>113.0</v>
      </c>
    </row>
    <row r="105" ht="15.75" customHeight="1">
      <c r="A105" s="17" t="s">
        <v>575</v>
      </c>
      <c r="B105" s="17" t="s">
        <v>82</v>
      </c>
      <c r="C105" s="17" t="s">
        <v>523</v>
      </c>
      <c r="D105" s="17" t="s">
        <v>493</v>
      </c>
      <c r="E105" s="17" t="s">
        <v>44</v>
      </c>
      <c r="F105" s="30">
        <v>1.0</v>
      </c>
      <c r="G105" s="31">
        <v>3.89</v>
      </c>
      <c r="H105" s="31">
        <f t="shared" si="2"/>
        <v>3.89</v>
      </c>
      <c r="I105" s="17" t="s">
        <v>59</v>
      </c>
      <c r="J105" s="17" t="s">
        <v>60</v>
      </c>
      <c r="K105" s="9" t="s">
        <v>64</v>
      </c>
      <c r="L105" s="17" t="s">
        <v>66</v>
      </c>
      <c r="M105" s="21" t="s">
        <v>121</v>
      </c>
      <c r="N105" s="17" t="s">
        <v>494</v>
      </c>
      <c r="O105" s="17"/>
      <c r="P105" s="17" t="s">
        <v>98</v>
      </c>
      <c r="Q105" s="32"/>
      <c r="R105" s="17">
        <v>114.0</v>
      </c>
    </row>
    <row r="106" ht="15.75" customHeight="1">
      <c r="A106" s="17" t="s">
        <v>576</v>
      </c>
      <c r="B106" s="17" t="s">
        <v>82</v>
      </c>
      <c r="C106" s="17" t="s">
        <v>523</v>
      </c>
      <c r="D106" s="17" t="s">
        <v>495</v>
      </c>
      <c r="E106" s="17" t="s">
        <v>44</v>
      </c>
      <c r="F106" s="30">
        <v>1.0</v>
      </c>
      <c r="G106" s="31">
        <v>17.0</v>
      </c>
      <c r="H106" s="31">
        <f t="shared" si="2"/>
        <v>17</v>
      </c>
      <c r="I106" s="17" t="s">
        <v>59</v>
      </c>
      <c r="J106" s="17" t="s">
        <v>60</v>
      </c>
      <c r="K106" s="9" t="s">
        <v>64</v>
      </c>
      <c r="L106" s="17" t="s">
        <v>66</v>
      </c>
      <c r="M106" s="21" t="s">
        <v>121</v>
      </c>
      <c r="N106" s="17" t="s">
        <v>496</v>
      </c>
      <c r="O106" s="17"/>
      <c r="P106" s="17" t="s">
        <v>98</v>
      </c>
      <c r="Q106" s="32"/>
      <c r="R106" s="17">
        <v>115.0</v>
      </c>
    </row>
    <row r="107" ht="15.75" customHeight="1">
      <c r="A107" s="17" t="s">
        <v>577</v>
      </c>
      <c r="B107" s="17" t="s">
        <v>82</v>
      </c>
      <c r="C107" s="17" t="s">
        <v>523</v>
      </c>
      <c r="D107" s="17" t="s">
        <v>497</v>
      </c>
      <c r="E107" s="20" t="s">
        <v>119</v>
      </c>
      <c r="F107" s="30">
        <v>1.0</v>
      </c>
      <c r="G107" s="33">
        <v>19.99</v>
      </c>
      <c r="H107" s="31">
        <f t="shared" si="2"/>
        <v>19.99</v>
      </c>
      <c r="I107" s="17" t="s">
        <v>59</v>
      </c>
      <c r="J107" s="17" t="s">
        <v>60</v>
      </c>
      <c r="K107" s="9" t="s">
        <v>64</v>
      </c>
      <c r="L107" s="17" t="s">
        <v>66</v>
      </c>
      <c r="M107" s="21" t="s">
        <v>121</v>
      </c>
      <c r="N107" s="36" t="s">
        <v>578</v>
      </c>
      <c r="O107" s="17"/>
      <c r="P107" s="17" t="s">
        <v>98</v>
      </c>
      <c r="Q107" s="32"/>
      <c r="R107" s="17">
        <v>116.0</v>
      </c>
    </row>
    <row r="108" ht="15.75" customHeight="1">
      <c r="A108" s="17" t="s">
        <v>579</v>
      </c>
      <c r="B108" s="17" t="s">
        <v>82</v>
      </c>
      <c r="C108" s="17" t="s">
        <v>354</v>
      </c>
      <c r="D108" s="17" t="s">
        <v>498</v>
      </c>
      <c r="E108" s="20" t="s">
        <v>580</v>
      </c>
      <c r="F108" s="30">
        <v>1.0</v>
      </c>
      <c r="G108" s="33">
        <v>39.99</v>
      </c>
      <c r="H108" s="31">
        <f t="shared" si="2"/>
        <v>39.99</v>
      </c>
      <c r="I108" s="17" t="s">
        <v>59</v>
      </c>
      <c r="J108" s="17" t="s">
        <v>60</v>
      </c>
      <c r="K108" s="9" t="s">
        <v>64</v>
      </c>
      <c r="L108" s="17" t="s">
        <v>66</v>
      </c>
      <c r="M108" s="21" t="s">
        <v>121</v>
      </c>
      <c r="N108" s="44" t="s">
        <v>581</v>
      </c>
      <c r="O108" s="17"/>
      <c r="P108" s="17" t="s">
        <v>98</v>
      </c>
      <c r="Q108" s="32"/>
      <c r="R108" s="17">
        <v>117.0</v>
      </c>
    </row>
    <row r="109" ht="15.75" customHeight="1">
      <c r="A109" s="17" t="s">
        <v>582</v>
      </c>
      <c r="B109" s="17" t="s">
        <v>502</v>
      </c>
      <c r="C109" s="17" t="s">
        <v>246</v>
      </c>
      <c r="D109" s="17" t="s">
        <v>503</v>
      </c>
      <c r="E109" s="17" t="s">
        <v>119</v>
      </c>
      <c r="F109" s="30">
        <v>1.0</v>
      </c>
      <c r="G109" s="31">
        <v>29.94</v>
      </c>
      <c r="H109" s="31">
        <f t="shared" si="2"/>
        <v>29.94</v>
      </c>
      <c r="I109" s="17" t="s">
        <v>59</v>
      </c>
      <c r="J109" s="17" t="s">
        <v>60</v>
      </c>
      <c r="K109" s="9" t="s">
        <v>64</v>
      </c>
      <c r="L109" s="17" t="s">
        <v>66</v>
      </c>
      <c r="M109" s="21" t="s">
        <v>346</v>
      </c>
      <c r="N109" s="17" t="s">
        <v>504</v>
      </c>
      <c r="O109" s="17"/>
      <c r="P109" s="17" t="s">
        <v>98</v>
      </c>
      <c r="Q109" s="32"/>
      <c r="R109" s="17">
        <v>121.0</v>
      </c>
    </row>
    <row r="110" ht="15.75" customHeight="1">
      <c r="A110" s="17" t="s">
        <v>583</v>
      </c>
      <c r="B110" s="17" t="s">
        <v>502</v>
      </c>
      <c r="C110" s="17" t="s">
        <v>100</v>
      </c>
      <c r="D110" s="17" t="s">
        <v>505</v>
      </c>
      <c r="E110" s="17" t="s">
        <v>119</v>
      </c>
      <c r="F110" s="30">
        <v>1.0</v>
      </c>
      <c r="G110" s="31">
        <v>18.58</v>
      </c>
      <c r="H110" s="31">
        <f t="shared" si="2"/>
        <v>18.58</v>
      </c>
      <c r="I110" s="17" t="s">
        <v>59</v>
      </c>
      <c r="J110" s="17" t="s">
        <v>60</v>
      </c>
      <c r="K110" s="9" t="s">
        <v>64</v>
      </c>
      <c r="L110" s="17" t="s">
        <v>66</v>
      </c>
      <c r="M110" s="21" t="s">
        <v>346</v>
      </c>
      <c r="N110" s="17" t="s">
        <v>506</v>
      </c>
      <c r="O110" s="17"/>
      <c r="P110" s="17" t="s">
        <v>98</v>
      </c>
      <c r="Q110" s="32"/>
      <c r="R110" s="17">
        <v>122.0</v>
      </c>
    </row>
    <row r="111" ht="15.75" customHeight="1">
      <c r="A111" s="17" t="s">
        <v>584</v>
      </c>
      <c r="B111" s="17" t="s">
        <v>502</v>
      </c>
      <c r="C111" s="17" t="s">
        <v>354</v>
      </c>
      <c r="D111" s="17" t="s">
        <v>507</v>
      </c>
      <c r="E111" s="17" t="s">
        <v>119</v>
      </c>
      <c r="F111" s="30">
        <v>1.0</v>
      </c>
      <c r="G111" s="31">
        <v>20.69</v>
      </c>
      <c r="H111" s="31">
        <f t="shared" si="2"/>
        <v>20.69</v>
      </c>
      <c r="I111" s="17" t="s">
        <v>59</v>
      </c>
      <c r="J111" s="17" t="s">
        <v>60</v>
      </c>
      <c r="K111" s="9" t="s">
        <v>64</v>
      </c>
      <c r="L111" s="17" t="s">
        <v>66</v>
      </c>
      <c r="M111" s="21" t="s">
        <v>121</v>
      </c>
      <c r="N111" s="17" t="s">
        <v>508</v>
      </c>
      <c r="O111" s="17"/>
      <c r="P111" s="17" t="s">
        <v>98</v>
      </c>
      <c r="Q111" s="32"/>
      <c r="R111" s="17">
        <v>123.0</v>
      </c>
    </row>
    <row r="112" ht="15.75" customHeight="1">
      <c r="A112" s="17" t="s">
        <v>585</v>
      </c>
      <c r="B112" s="17" t="s">
        <v>502</v>
      </c>
      <c r="C112" s="17" t="s">
        <v>246</v>
      </c>
      <c r="D112" s="17" t="s">
        <v>509</v>
      </c>
      <c r="E112" s="17" t="s">
        <v>119</v>
      </c>
      <c r="F112" s="30">
        <v>1.0</v>
      </c>
      <c r="G112" s="31">
        <v>14.79</v>
      </c>
      <c r="H112" s="31">
        <f t="shared" si="2"/>
        <v>14.79</v>
      </c>
      <c r="I112" s="17" t="s">
        <v>59</v>
      </c>
      <c r="J112" s="17" t="s">
        <v>60</v>
      </c>
      <c r="K112" s="9" t="s">
        <v>64</v>
      </c>
      <c r="L112" s="17" t="s">
        <v>66</v>
      </c>
      <c r="M112" s="21" t="s">
        <v>121</v>
      </c>
      <c r="N112" s="17" t="s">
        <v>510</v>
      </c>
      <c r="O112" s="17"/>
      <c r="P112" s="17" t="s">
        <v>98</v>
      </c>
      <c r="Q112" s="32"/>
      <c r="R112" s="17">
        <v>124.0</v>
      </c>
    </row>
    <row r="113" ht="15.75" customHeight="1">
      <c r="A113" s="17" t="s">
        <v>586</v>
      </c>
      <c r="B113" s="17" t="s">
        <v>502</v>
      </c>
      <c r="C113" s="17" t="s">
        <v>354</v>
      </c>
      <c r="D113" s="17" t="s">
        <v>511</v>
      </c>
      <c r="E113" s="17" t="s">
        <v>44</v>
      </c>
      <c r="F113" s="30">
        <v>1.0</v>
      </c>
      <c r="G113" s="31">
        <v>2.82</v>
      </c>
      <c r="H113" s="31">
        <f t="shared" si="2"/>
        <v>2.82</v>
      </c>
      <c r="I113" s="17" t="s">
        <v>59</v>
      </c>
      <c r="J113" s="17" t="s">
        <v>60</v>
      </c>
      <c r="K113" s="9" t="s">
        <v>64</v>
      </c>
      <c r="L113" s="17" t="s">
        <v>66</v>
      </c>
      <c r="M113" s="21" t="s">
        <v>121</v>
      </c>
      <c r="N113" s="17" t="s">
        <v>512</v>
      </c>
      <c r="O113" s="17"/>
      <c r="P113" s="17" t="s">
        <v>98</v>
      </c>
      <c r="Q113" s="32"/>
      <c r="R113" s="17">
        <v>125.0</v>
      </c>
    </row>
    <row r="114" ht="15.75" customHeight="1">
      <c r="A114" s="26" t="s">
        <v>587</v>
      </c>
      <c r="B114" s="26" t="s">
        <v>502</v>
      </c>
      <c r="C114" s="26" t="s">
        <v>100</v>
      </c>
      <c r="D114" s="26" t="s">
        <v>514</v>
      </c>
      <c r="E114" s="26" t="s">
        <v>44</v>
      </c>
      <c r="F114" s="45">
        <v>1.0</v>
      </c>
      <c r="G114" s="46">
        <v>4.97</v>
      </c>
      <c r="H114" s="46">
        <f t="shared" si="2"/>
        <v>4.97</v>
      </c>
      <c r="I114" s="26" t="s">
        <v>59</v>
      </c>
      <c r="J114" s="26" t="s">
        <v>60</v>
      </c>
      <c r="K114" s="9" t="s">
        <v>64</v>
      </c>
      <c r="L114" s="26" t="s">
        <v>66</v>
      </c>
      <c r="M114" s="21" t="s">
        <v>121</v>
      </c>
      <c r="N114" s="26" t="s">
        <v>515</v>
      </c>
      <c r="O114" s="26"/>
      <c r="P114" s="26" t="s">
        <v>98</v>
      </c>
      <c r="Q114" s="47"/>
      <c r="R114" s="26">
        <v>126.0</v>
      </c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>
      <c r="M125" s="48"/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autoFilter ref="$A$4:$R$114"/>
  <mergeCells count="2">
    <mergeCell ref="A1:R1"/>
    <mergeCell ref="A2:R2"/>
  </mergeCells>
  <conditionalFormatting sqref="K5:K114">
    <cfRule type="containsText" dxfId="0" priority="1" operator="containsText" text="Approve">
      <formula>NOT(ISERROR(SEARCH(("Approve"),(K5))))</formula>
    </cfRule>
  </conditionalFormatting>
  <conditionalFormatting sqref="J5:J114">
    <cfRule type="containsText" dxfId="2" priority="2" operator="containsText" text="Replace">
      <formula>NOT(ISERROR(SEARCH(("Replace"),(J5))))</formula>
    </cfRule>
  </conditionalFormatting>
  <conditionalFormatting sqref="J5:J114">
    <cfRule type="containsText" dxfId="1" priority="3" operator="containsText" text="Incomplete">
      <formula>NOT(ISERROR(SEARCH(("Incomplete"),(J5))))</formula>
    </cfRule>
  </conditionalFormatting>
  <dataValidations>
    <dataValidation type="list" allowBlank="1" showErrorMessage="1" sqref="M5:M114 M125">
      <formula1>"Durable furnishing,Initial setup only,Recurring replenishment,Initial and recurring,Exclude from package,Needs review"</formula1>
    </dataValidation>
    <dataValidation type="list" allowBlank="1" sqref="P5:P114">
      <formula1>"Not defined,Exact equivalent,Preapproved alternative,Customer approval required,Designer approval required,Not substitutable"</formula1>
    </dataValidation>
    <dataValidation type="list" allowBlank="1" sqref="K5:K114">
      <formula1>"Needs review,Approve,Approve as alternative,Replace,Hold,Reject"</formula1>
    </dataValidation>
  </dataValidations>
  <hyperlinks>
    <hyperlink r:id="rId1" ref="N5"/>
    <hyperlink r:id="rId2" ref="N7"/>
    <hyperlink r:id="rId3" ref="N11"/>
    <hyperlink r:id="rId4" ref="N13"/>
    <hyperlink r:id="rId5" ref="N14"/>
    <hyperlink r:id="rId6" ref="N15"/>
    <hyperlink r:id="rId7" ref="N16"/>
    <hyperlink r:id="rId8" ref="N17"/>
    <hyperlink r:id="rId9" ref="N18"/>
    <hyperlink r:id="rId10" ref="N22"/>
    <hyperlink r:id="rId11" ref="N24"/>
    <hyperlink r:id="rId12" ref="N25"/>
    <hyperlink r:id="rId13" ref="N31"/>
    <hyperlink r:id="rId14" ref="N36"/>
    <hyperlink r:id="rId15" ref="N40"/>
    <hyperlink r:id="rId16" ref="N49"/>
    <hyperlink r:id="rId17" ref="N51"/>
    <hyperlink r:id="rId18" ref="N52"/>
    <hyperlink r:id="rId19" ref="N70"/>
    <hyperlink r:id="rId20" ref="N73"/>
    <hyperlink r:id="rId21" ref="N79"/>
    <hyperlink r:id="rId22" ref="N96"/>
    <hyperlink r:id="rId23" ref="N107"/>
    <hyperlink r:id="rId24" ref="N108"/>
  </hyperlinks>
  <printOptions/>
  <pageMargins bottom="0.75" footer="0.0" header="0.0" left="0.7" right="0.7" top="0.75"/>
  <pageSetup orientation="landscape"/>
  <drawing r:id="rId2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.0"/>
    <col customWidth="1" min="2" max="2" width="20.0"/>
    <col customWidth="1" min="3" max="3" width="32.0"/>
    <col customWidth="1" min="4" max="4" width="18.0"/>
    <col customWidth="1" min="5" max="5" width="10.0"/>
    <col customWidth="1" min="6" max="6" width="48.0"/>
    <col customWidth="1" min="7" max="7" width="16.0"/>
    <col customWidth="1" min="8" max="8" width="18.0"/>
    <col customWidth="1" min="9" max="9" width="14.0"/>
    <col customWidth="1" min="10" max="26" width="8.63"/>
  </cols>
  <sheetData>
    <row r="1" ht="33.75" customHeight="1">
      <c r="A1" s="1" t="s">
        <v>26</v>
      </c>
    </row>
    <row r="3" ht="26.25" customHeight="1">
      <c r="A3" s="4" t="s">
        <v>29</v>
      </c>
      <c r="B3" s="4" t="s">
        <v>7</v>
      </c>
      <c r="C3" s="4" t="s">
        <v>33</v>
      </c>
      <c r="D3" s="4" t="s">
        <v>16</v>
      </c>
      <c r="E3" s="4" t="s">
        <v>12</v>
      </c>
      <c r="F3" s="4" t="s">
        <v>40</v>
      </c>
      <c r="G3" s="4" t="s">
        <v>43</v>
      </c>
      <c r="H3" s="4" t="s">
        <v>45</v>
      </c>
      <c r="I3" s="4" t="s">
        <v>46</v>
      </c>
    </row>
    <row r="4" ht="48.0" customHeight="1">
      <c r="A4" s="12" t="s">
        <v>47</v>
      </c>
      <c r="B4" s="15" t="s">
        <v>38</v>
      </c>
      <c r="C4" s="15" t="s">
        <v>50</v>
      </c>
      <c r="D4" s="15" t="s">
        <v>51</v>
      </c>
      <c r="E4" s="15">
        <v>1.0</v>
      </c>
      <c r="F4" s="23" t="s">
        <v>52</v>
      </c>
      <c r="G4" s="15" t="s">
        <v>89</v>
      </c>
      <c r="H4" s="9" t="s">
        <v>64</v>
      </c>
      <c r="I4" s="27">
        <v>19.99</v>
      </c>
    </row>
    <row r="5" ht="60.0" customHeight="1">
      <c r="A5" s="12" t="s">
        <v>94</v>
      </c>
      <c r="B5" s="15" t="s">
        <v>38</v>
      </c>
      <c r="C5" s="15" t="s">
        <v>95</v>
      </c>
      <c r="D5" s="15" t="s">
        <v>59</v>
      </c>
      <c r="E5" s="15">
        <v>1.0</v>
      </c>
      <c r="F5" s="23" t="s">
        <v>96</v>
      </c>
      <c r="G5" s="15" t="s">
        <v>89</v>
      </c>
      <c r="H5" s="9" t="s">
        <v>64</v>
      </c>
      <c r="I5" s="27">
        <v>8.99</v>
      </c>
    </row>
    <row r="6" ht="48.0" customHeight="1">
      <c r="A6" s="12" t="s">
        <v>107</v>
      </c>
      <c r="B6" s="15" t="s">
        <v>109</v>
      </c>
      <c r="C6" s="15" t="s">
        <v>50</v>
      </c>
      <c r="D6" s="15" t="s">
        <v>51</v>
      </c>
      <c r="E6" s="15">
        <v>1.0</v>
      </c>
      <c r="F6" s="23" t="s">
        <v>52</v>
      </c>
      <c r="G6" s="15" t="s">
        <v>89</v>
      </c>
      <c r="H6" s="9" t="s">
        <v>64</v>
      </c>
      <c r="I6" s="27">
        <v>19.99</v>
      </c>
    </row>
    <row r="7" ht="60.0" customHeight="1">
      <c r="A7" s="12" t="s">
        <v>112</v>
      </c>
      <c r="B7" s="15" t="s">
        <v>109</v>
      </c>
      <c r="C7" s="15" t="s">
        <v>95</v>
      </c>
      <c r="D7" s="15" t="s">
        <v>59</v>
      </c>
      <c r="E7" s="15">
        <v>1.0</v>
      </c>
      <c r="F7" s="23" t="s">
        <v>96</v>
      </c>
      <c r="G7" s="15" t="s">
        <v>89</v>
      </c>
      <c r="H7" s="9" t="s">
        <v>64</v>
      </c>
      <c r="I7" s="27">
        <v>8.99</v>
      </c>
    </row>
    <row r="8" ht="48.0" customHeight="1">
      <c r="A8" s="12" t="s">
        <v>114</v>
      </c>
      <c r="B8" s="15" t="s">
        <v>115</v>
      </c>
      <c r="C8" s="15" t="s">
        <v>50</v>
      </c>
      <c r="D8" s="15" t="s">
        <v>51</v>
      </c>
      <c r="E8" s="15">
        <v>1.0</v>
      </c>
      <c r="F8" s="23" t="s">
        <v>52</v>
      </c>
      <c r="G8" s="15" t="s">
        <v>89</v>
      </c>
      <c r="H8" s="9" t="s">
        <v>64</v>
      </c>
      <c r="I8" s="27">
        <v>19.99</v>
      </c>
    </row>
    <row r="9" ht="60.0" customHeight="1">
      <c r="A9" s="12" t="s">
        <v>116</v>
      </c>
      <c r="B9" s="15" t="s">
        <v>115</v>
      </c>
      <c r="C9" s="15" t="s">
        <v>95</v>
      </c>
      <c r="D9" s="15" t="s">
        <v>59</v>
      </c>
      <c r="E9" s="15">
        <v>1.0</v>
      </c>
      <c r="F9" s="23" t="s">
        <v>96</v>
      </c>
      <c r="G9" s="15" t="s">
        <v>89</v>
      </c>
      <c r="H9" s="9" t="s">
        <v>64</v>
      </c>
      <c r="I9" s="27">
        <v>8.99</v>
      </c>
    </row>
    <row r="10" ht="36.0" customHeight="1">
      <c r="A10" s="12" t="s">
        <v>120</v>
      </c>
      <c r="B10" s="15" t="s">
        <v>109</v>
      </c>
      <c r="C10" s="15" t="s">
        <v>122</v>
      </c>
      <c r="D10" s="15" t="s">
        <v>59</v>
      </c>
      <c r="E10" s="15">
        <v>1.0</v>
      </c>
      <c r="F10" s="23" t="s">
        <v>124</v>
      </c>
      <c r="G10" s="15" t="s">
        <v>89</v>
      </c>
      <c r="H10" s="9" t="s">
        <v>64</v>
      </c>
      <c r="I10" s="27">
        <v>25.64</v>
      </c>
    </row>
    <row r="11" ht="36.0" customHeight="1">
      <c r="A11" s="12" t="s">
        <v>137</v>
      </c>
      <c r="B11" s="15" t="s">
        <v>115</v>
      </c>
      <c r="C11" s="15" t="s">
        <v>122</v>
      </c>
      <c r="D11" s="15" t="s">
        <v>59</v>
      </c>
      <c r="E11" s="15">
        <v>1.0</v>
      </c>
      <c r="F11" s="23" t="s">
        <v>124</v>
      </c>
      <c r="G11" s="15" t="s">
        <v>89</v>
      </c>
      <c r="H11" s="9" t="s">
        <v>64</v>
      </c>
      <c r="I11" s="27">
        <v>25.64</v>
      </c>
    </row>
    <row r="12" ht="36.0" customHeight="1">
      <c r="A12" s="12" t="s">
        <v>140</v>
      </c>
      <c r="B12" s="15" t="s">
        <v>109</v>
      </c>
      <c r="C12" s="15" t="s">
        <v>141</v>
      </c>
      <c r="D12" s="15" t="s">
        <v>138</v>
      </c>
      <c r="E12" s="15">
        <v>1.0</v>
      </c>
      <c r="F12" s="23" t="s">
        <v>143</v>
      </c>
      <c r="G12" s="15" t="s">
        <v>89</v>
      </c>
      <c r="H12" s="9" t="s">
        <v>64</v>
      </c>
      <c r="I12" s="27">
        <v>14.92</v>
      </c>
    </row>
    <row r="13" ht="36.0" customHeight="1">
      <c r="A13" s="12" t="s">
        <v>146</v>
      </c>
      <c r="B13" s="15" t="s">
        <v>115</v>
      </c>
      <c r="C13" s="15" t="s">
        <v>141</v>
      </c>
      <c r="D13" s="15" t="s">
        <v>138</v>
      </c>
      <c r="E13" s="15">
        <v>1.0</v>
      </c>
      <c r="F13" s="23" t="s">
        <v>143</v>
      </c>
      <c r="G13" s="15" t="s">
        <v>89</v>
      </c>
      <c r="H13" s="9" t="s">
        <v>64</v>
      </c>
      <c r="I13" s="27">
        <v>14.92</v>
      </c>
    </row>
    <row r="14" ht="36.0" customHeight="1">
      <c r="A14" s="12" t="s">
        <v>147</v>
      </c>
      <c r="B14" s="15" t="s">
        <v>109</v>
      </c>
      <c r="C14" s="15" t="s">
        <v>148</v>
      </c>
      <c r="D14" s="15" t="s">
        <v>59</v>
      </c>
      <c r="E14" s="15">
        <v>1.0</v>
      </c>
      <c r="F14" s="23" t="s">
        <v>149</v>
      </c>
      <c r="G14" s="15" t="s">
        <v>89</v>
      </c>
      <c r="H14" s="9" t="s">
        <v>64</v>
      </c>
      <c r="I14" s="27">
        <v>35.99</v>
      </c>
    </row>
    <row r="15" ht="48.0" customHeight="1">
      <c r="A15" s="12" t="s">
        <v>164</v>
      </c>
      <c r="B15" s="15" t="s">
        <v>90</v>
      </c>
      <c r="C15" s="15" t="s">
        <v>166</v>
      </c>
      <c r="D15" s="15" t="s">
        <v>59</v>
      </c>
      <c r="E15" s="15">
        <v>1.0</v>
      </c>
      <c r="F15" s="23" t="s">
        <v>168</v>
      </c>
      <c r="G15" s="15" t="s">
        <v>89</v>
      </c>
      <c r="H15" s="9" t="s">
        <v>64</v>
      </c>
      <c r="I15" s="27">
        <v>18.69</v>
      </c>
    </row>
    <row r="16" ht="48.0" customHeight="1">
      <c r="A16" s="12" t="s">
        <v>185</v>
      </c>
      <c r="B16" s="15" t="s">
        <v>85</v>
      </c>
      <c r="C16" s="15" t="s">
        <v>186</v>
      </c>
      <c r="D16" s="15" t="s">
        <v>59</v>
      </c>
      <c r="E16" s="15">
        <v>2.0</v>
      </c>
      <c r="F16" s="23" t="s">
        <v>187</v>
      </c>
      <c r="G16" s="15" t="s">
        <v>89</v>
      </c>
      <c r="H16" s="9" t="s">
        <v>64</v>
      </c>
      <c r="I16" s="27">
        <v>6.99</v>
      </c>
    </row>
    <row r="17" ht="48.0" customHeight="1">
      <c r="A17" s="38" t="s">
        <v>192</v>
      </c>
      <c r="B17" s="39" t="s">
        <v>85</v>
      </c>
      <c r="C17" s="39" t="s">
        <v>193</v>
      </c>
      <c r="D17" s="39" t="s">
        <v>59</v>
      </c>
      <c r="E17" s="39">
        <v>2.0</v>
      </c>
      <c r="F17" s="40" t="s">
        <v>194</v>
      </c>
      <c r="G17" s="39" t="s">
        <v>89</v>
      </c>
      <c r="H17" s="9" t="s">
        <v>64</v>
      </c>
      <c r="I17" s="41">
        <v>12.84</v>
      </c>
    </row>
    <row r="18" ht="15.75" customHeight="1">
      <c r="A18" s="21" t="s">
        <v>195</v>
      </c>
      <c r="B18" s="21" t="s">
        <v>87</v>
      </c>
      <c r="C18" s="21" t="s">
        <v>196</v>
      </c>
      <c r="D18" s="21" t="s">
        <v>51</v>
      </c>
      <c r="E18" s="21">
        <v>2.0</v>
      </c>
      <c r="F18" s="42" t="s">
        <v>197</v>
      </c>
      <c r="G18" s="21" t="s">
        <v>89</v>
      </c>
      <c r="H18" s="9" t="s">
        <v>64</v>
      </c>
      <c r="I18" s="43">
        <v>29.19</v>
      </c>
    </row>
    <row r="19" ht="15.75" customHeight="1">
      <c r="A19" s="21" t="s">
        <v>204</v>
      </c>
      <c r="B19" s="21" t="s">
        <v>38</v>
      </c>
      <c r="C19" s="21" t="s">
        <v>205</v>
      </c>
      <c r="D19" s="21" t="s">
        <v>59</v>
      </c>
      <c r="E19" s="21">
        <v>1.0</v>
      </c>
      <c r="F19" s="42" t="s">
        <v>206</v>
      </c>
      <c r="G19" s="21" t="s">
        <v>89</v>
      </c>
      <c r="H19" s="9" t="s">
        <v>64</v>
      </c>
      <c r="I19" s="43">
        <v>34.99</v>
      </c>
    </row>
    <row r="20" ht="15.75" customHeight="1">
      <c r="A20" s="21" t="s">
        <v>221</v>
      </c>
      <c r="B20" s="21" t="s">
        <v>38</v>
      </c>
      <c r="C20" s="21" t="s">
        <v>222</v>
      </c>
      <c r="D20" s="21" t="s">
        <v>59</v>
      </c>
      <c r="E20" s="21">
        <v>2.0</v>
      </c>
      <c r="F20" s="42" t="s">
        <v>223</v>
      </c>
      <c r="G20" s="21" t="s">
        <v>89</v>
      </c>
      <c r="H20" s="9" t="s">
        <v>64</v>
      </c>
      <c r="I20" s="43">
        <v>12.99</v>
      </c>
    </row>
    <row r="21" ht="15.75" customHeight="1">
      <c r="A21" s="21" t="s">
        <v>233</v>
      </c>
      <c r="B21" s="21" t="s">
        <v>38</v>
      </c>
      <c r="C21" s="21" t="s">
        <v>234</v>
      </c>
      <c r="D21" s="21" t="s">
        <v>59</v>
      </c>
      <c r="E21" s="21">
        <v>2.0</v>
      </c>
      <c r="F21" s="42" t="s">
        <v>235</v>
      </c>
      <c r="G21" s="21" t="s">
        <v>89</v>
      </c>
      <c r="H21" s="9" t="s">
        <v>64</v>
      </c>
      <c r="I21" s="43">
        <v>13.97</v>
      </c>
    </row>
    <row r="22" ht="15.75" customHeight="1">
      <c r="A22" s="21" t="s">
        <v>243</v>
      </c>
      <c r="B22" s="21" t="s">
        <v>38</v>
      </c>
      <c r="C22" s="21" t="s">
        <v>244</v>
      </c>
      <c r="D22" s="21" t="s">
        <v>59</v>
      </c>
      <c r="E22" s="21">
        <v>1.0</v>
      </c>
      <c r="F22" s="42" t="s">
        <v>247</v>
      </c>
      <c r="G22" s="21" t="s">
        <v>89</v>
      </c>
      <c r="H22" s="9" t="s">
        <v>64</v>
      </c>
      <c r="I22" s="43">
        <v>33.0</v>
      </c>
    </row>
    <row r="23" ht="15.75" customHeight="1">
      <c r="A23" s="21" t="s">
        <v>290</v>
      </c>
      <c r="B23" s="21" t="s">
        <v>38</v>
      </c>
      <c r="C23" s="21" t="s">
        <v>293</v>
      </c>
      <c r="D23" s="21" t="s">
        <v>59</v>
      </c>
      <c r="E23" s="21">
        <v>2.0</v>
      </c>
      <c r="F23" s="42" t="s">
        <v>296</v>
      </c>
      <c r="G23" s="21" t="s">
        <v>89</v>
      </c>
      <c r="H23" s="9" t="s">
        <v>64</v>
      </c>
      <c r="I23" s="43">
        <v>10.39</v>
      </c>
    </row>
    <row r="24" ht="15.75" customHeight="1">
      <c r="A24" s="21" t="s">
        <v>311</v>
      </c>
      <c r="B24" s="21" t="s">
        <v>313</v>
      </c>
      <c r="C24" s="21" t="s">
        <v>314</v>
      </c>
      <c r="D24" s="21" t="s">
        <v>59</v>
      </c>
      <c r="E24" s="21">
        <v>1.0</v>
      </c>
      <c r="F24" s="42" t="s">
        <v>317</v>
      </c>
      <c r="G24" s="21" t="s">
        <v>89</v>
      </c>
      <c r="H24" s="9" t="s">
        <v>64</v>
      </c>
      <c r="I24" s="21">
        <v>8.49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1">
    <mergeCell ref="A1:I1"/>
  </mergeCells>
  <conditionalFormatting sqref="H4:H24">
    <cfRule type="containsText" dxfId="0" priority="1" operator="containsText" text="Approve">
      <formula>NOT(ISERROR(SEARCH(("Approve"),(H4))))</formula>
    </cfRule>
  </conditionalFormatting>
  <conditionalFormatting sqref="H4:H24">
    <cfRule type="containsText" dxfId="0" priority="2" operator="containsText" text="Approved">
      <formula>NOT(ISERROR(SEARCH(("Approved"),(H4))))</formula>
    </cfRule>
  </conditionalFormatting>
  <dataValidations>
    <dataValidation type="list" allowBlank="1" sqref="H4:H24">
      <formula1>"Needs review,Approve,Approve as alternative,Replace,Hold,Reject"</formula1>
    </dataValidation>
  </dataValidations>
  <hyperlinks>
    <hyperlink r:id="rId1" ref="F4"/>
    <hyperlink r:id="rId2" ref="F5"/>
    <hyperlink r:id="rId3" ref="F6"/>
    <hyperlink r:id="rId4" ref="F7"/>
    <hyperlink r:id="rId5" ref="F8"/>
    <hyperlink r:id="rId6" ref="F9"/>
    <hyperlink r:id="rId7" ref="F10"/>
    <hyperlink r:id="rId8" ref="F11"/>
    <hyperlink r:id="rId9" ref="F12"/>
    <hyperlink r:id="rId10" ref="F13"/>
    <hyperlink r:id="rId11" ref="F14"/>
    <hyperlink r:id="rId12" ref="F15"/>
    <hyperlink r:id="rId13" ref="F16"/>
    <hyperlink r:id="rId14" ref="F17"/>
    <hyperlink r:id="rId15" ref="F18"/>
    <hyperlink r:id="rId16" ref="F19"/>
    <hyperlink r:id="rId17" ref="F20"/>
    <hyperlink r:id="rId18" ref="F21"/>
    <hyperlink r:id="rId19" ref="F22"/>
    <hyperlink r:id="rId20" ref="F23"/>
    <hyperlink r:id="rId21" ref="F24"/>
  </hyperlinks>
  <printOptions/>
  <pageMargins bottom="0.75" footer="0.0" header="0.0" left="0.7" right="0.7" top="0.75"/>
  <pageSetup orientation="landscape"/>
  <drawing r:id="rId2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2.0"/>
    <col customWidth="1" min="2" max="2" width="52.0"/>
    <col customWidth="1" min="3" max="3" width="62.0"/>
    <col customWidth="1" min="4" max="26" width="8.63"/>
  </cols>
  <sheetData>
    <row r="1" ht="33.75" customHeight="1">
      <c r="A1" s="7" t="s">
        <v>27</v>
      </c>
    </row>
    <row r="3" ht="15.0" customHeight="1">
      <c r="A3" s="4" t="s">
        <v>34</v>
      </c>
      <c r="B3" s="4" t="s">
        <v>36</v>
      </c>
      <c r="C3" s="4" t="s">
        <v>37</v>
      </c>
    </row>
    <row r="4" ht="15.0" customHeight="1">
      <c r="A4" s="10" t="s">
        <v>42</v>
      </c>
      <c r="B4" s="8" t="s">
        <v>48</v>
      </c>
      <c r="C4" s="8" t="s">
        <v>3</v>
      </c>
    </row>
    <row r="5" ht="15.0" customHeight="1">
      <c r="A5" s="16" t="s">
        <v>49</v>
      </c>
      <c r="B5" s="17" t="s">
        <v>53</v>
      </c>
      <c r="C5" s="17" t="s">
        <v>54</v>
      </c>
    </row>
    <row r="6" ht="15.0" customHeight="1">
      <c r="A6" s="16" t="s">
        <v>55</v>
      </c>
      <c r="B6" s="17" t="s">
        <v>56</v>
      </c>
      <c r="C6" s="17" t="s">
        <v>57</v>
      </c>
    </row>
    <row r="7" ht="15.0" customHeight="1">
      <c r="A7" s="16" t="s">
        <v>58</v>
      </c>
      <c r="B7" s="20" t="s">
        <v>61</v>
      </c>
      <c r="C7" s="17" t="s">
        <v>62</v>
      </c>
    </row>
    <row r="8" ht="15.0" customHeight="1">
      <c r="A8" s="16" t="s">
        <v>63</v>
      </c>
      <c r="B8" s="17" t="s">
        <v>65</v>
      </c>
      <c r="C8" s="17" t="s">
        <v>67</v>
      </c>
    </row>
    <row r="9" ht="15.0" customHeight="1">
      <c r="A9" s="16" t="s">
        <v>68</v>
      </c>
      <c r="B9" s="17" t="s">
        <v>69</v>
      </c>
      <c r="C9" s="17" t="s">
        <v>70</v>
      </c>
    </row>
    <row r="10" ht="15.0" customHeight="1">
      <c r="A10" s="16" t="s">
        <v>72</v>
      </c>
      <c r="B10" s="17" t="s">
        <v>73</v>
      </c>
      <c r="C10" s="17" t="s">
        <v>74</v>
      </c>
    </row>
    <row r="11" ht="15.0" customHeight="1">
      <c r="A11" s="16" t="s">
        <v>76</v>
      </c>
      <c r="B11" s="17" t="s">
        <v>73</v>
      </c>
      <c r="C11" s="17" t="s">
        <v>77</v>
      </c>
    </row>
    <row r="12" ht="15.0" customHeight="1">
      <c r="A12" s="16" t="s">
        <v>78</v>
      </c>
      <c r="B12" s="17" t="s">
        <v>80</v>
      </c>
      <c r="C12" s="17" t="s">
        <v>81</v>
      </c>
    </row>
    <row r="13" ht="15.0" customHeight="1">
      <c r="A13" s="16" t="s">
        <v>82</v>
      </c>
      <c r="B13" s="17" t="s">
        <v>83</v>
      </c>
      <c r="C13" s="17" t="s">
        <v>84</v>
      </c>
    </row>
    <row r="14" ht="15.0" customHeight="1">
      <c r="A14" s="16" t="s">
        <v>85</v>
      </c>
      <c r="B14" s="17" t="s">
        <v>86</v>
      </c>
      <c r="C14" s="17" t="s">
        <v>88</v>
      </c>
    </row>
    <row r="15" ht="15.0" customHeight="1">
      <c r="A15" s="24" t="s">
        <v>90</v>
      </c>
      <c r="B15" s="26" t="s">
        <v>91</v>
      </c>
      <c r="C15" s="26" t="s">
        <v>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8.0"/>
    <col customWidth="1" min="2" max="2" width="16.0"/>
    <col customWidth="1" min="3" max="3" width="24.0"/>
    <col customWidth="1" min="4" max="4" width="58.0"/>
    <col customWidth="1" min="5" max="5" width="26.0"/>
    <col customWidth="1" min="6" max="26" width="8.63"/>
  </cols>
  <sheetData>
    <row r="1" ht="33.75" customHeight="1">
      <c r="A1" s="1" t="s">
        <v>153</v>
      </c>
    </row>
    <row r="3" ht="27.75" customHeight="1">
      <c r="A3" s="4" t="s">
        <v>155</v>
      </c>
      <c r="B3" s="4" t="s">
        <v>156</v>
      </c>
      <c r="C3" s="4" t="s">
        <v>157</v>
      </c>
      <c r="D3" s="4" t="s">
        <v>158</v>
      </c>
      <c r="E3" s="4" t="s">
        <v>159</v>
      </c>
    </row>
    <row r="4">
      <c r="A4" s="8" t="s">
        <v>160</v>
      </c>
      <c r="B4" s="8" t="s">
        <v>161</v>
      </c>
      <c r="C4" s="8" t="s">
        <v>162</v>
      </c>
      <c r="D4" s="8" t="s">
        <v>163</v>
      </c>
      <c r="E4" s="8" t="s">
        <v>165</v>
      </c>
    </row>
    <row r="5">
      <c r="A5" s="17" t="s">
        <v>167</v>
      </c>
      <c r="B5" s="17" t="s">
        <v>44</v>
      </c>
      <c r="C5" s="17" t="s">
        <v>162</v>
      </c>
      <c r="D5" s="17" t="s">
        <v>169</v>
      </c>
      <c r="E5" s="17" t="s">
        <v>165</v>
      </c>
    </row>
    <row r="6">
      <c r="A6" s="17" t="s">
        <v>170</v>
      </c>
      <c r="B6" s="17" t="s">
        <v>119</v>
      </c>
      <c r="C6" s="17" t="s">
        <v>162</v>
      </c>
      <c r="D6" s="17" t="s">
        <v>171</v>
      </c>
      <c r="E6" s="17" t="s">
        <v>172</v>
      </c>
    </row>
    <row r="7">
      <c r="A7" s="17" t="s">
        <v>173</v>
      </c>
      <c r="B7" s="17" t="s">
        <v>106</v>
      </c>
      <c r="C7" s="17" t="s">
        <v>162</v>
      </c>
      <c r="D7" s="17" t="s">
        <v>174</v>
      </c>
      <c r="E7" s="17" t="s">
        <v>165</v>
      </c>
    </row>
    <row r="8">
      <c r="A8" s="17" t="s">
        <v>175</v>
      </c>
      <c r="B8" s="17" t="s">
        <v>176</v>
      </c>
      <c r="C8" s="17" t="s">
        <v>162</v>
      </c>
      <c r="D8" s="17" t="s">
        <v>177</v>
      </c>
      <c r="E8" s="17" t="s">
        <v>165</v>
      </c>
    </row>
    <row r="9">
      <c r="A9" s="17" t="s">
        <v>178</v>
      </c>
      <c r="B9" s="17" t="s">
        <v>179</v>
      </c>
      <c r="C9" s="17" t="s">
        <v>180</v>
      </c>
      <c r="D9" s="17" t="s">
        <v>181</v>
      </c>
      <c r="E9" s="17" t="s">
        <v>182</v>
      </c>
    </row>
    <row r="10">
      <c r="A10" s="26" t="s">
        <v>183</v>
      </c>
      <c r="B10" s="26" t="s">
        <v>184</v>
      </c>
      <c r="C10" s="26" t="s">
        <v>180</v>
      </c>
      <c r="D10" s="26" t="s">
        <v>181</v>
      </c>
      <c r="E10" s="26" t="s">
        <v>182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8.0"/>
    <col customWidth="1" min="2" max="2" width="12.0"/>
    <col customWidth="1" min="3" max="3" width="18.0"/>
    <col customWidth="1" min="4" max="4" width="34.0"/>
    <col customWidth="1" min="5" max="5" width="55.0"/>
    <col customWidth="1" min="6" max="6" width="42.0"/>
    <col customWidth="1" min="7" max="26" width="8.63"/>
  </cols>
  <sheetData>
    <row r="1" ht="33.75" customHeight="1">
      <c r="A1" s="1" t="s">
        <v>207</v>
      </c>
    </row>
    <row r="3" ht="27.75" customHeight="1">
      <c r="A3" s="4" t="s">
        <v>209</v>
      </c>
      <c r="B3" s="4" t="s">
        <v>32</v>
      </c>
      <c r="C3" s="4" t="s">
        <v>211</v>
      </c>
      <c r="D3" s="4" t="s">
        <v>9</v>
      </c>
      <c r="E3" s="4" t="s">
        <v>25</v>
      </c>
      <c r="F3" s="4" t="s">
        <v>212</v>
      </c>
    </row>
    <row r="4">
      <c r="A4" s="8" t="s">
        <v>213</v>
      </c>
      <c r="B4" s="8">
        <v>5.0</v>
      </c>
      <c r="C4" s="8" t="s">
        <v>38</v>
      </c>
      <c r="D4" s="8" t="s">
        <v>215</v>
      </c>
      <c r="E4" s="8" t="s">
        <v>216</v>
      </c>
      <c r="F4" s="8" t="s">
        <v>217</v>
      </c>
    </row>
    <row r="5">
      <c r="A5" s="17" t="s">
        <v>213</v>
      </c>
      <c r="B5" s="17">
        <v>6.0</v>
      </c>
      <c r="C5" s="17" t="s">
        <v>38</v>
      </c>
      <c r="D5" s="17" t="s">
        <v>101</v>
      </c>
      <c r="E5" s="17" t="s">
        <v>103</v>
      </c>
      <c r="F5" s="17" t="s">
        <v>217</v>
      </c>
    </row>
    <row r="6">
      <c r="A6" s="17" t="s">
        <v>213</v>
      </c>
      <c r="B6" s="17">
        <v>7.0</v>
      </c>
      <c r="C6" s="17" t="s">
        <v>38</v>
      </c>
      <c r="D6" s="17" t="s">
        <v>105</v>
      </c>
      <c r="E6" s="17" t="s">
        <v>218</v>
      </c>
      <c r="F6" s="17" t="s">
        <v>217</v>
      </c>
    </row>
    <row r="7">
      <c r="A7" s="17" t="s">
        <v>213</v>
      </c>
      <c r="B7" s="17">
        <v>8.0</v>
      </c>
      <c r="C7" s="17" t="s">
        <v>38</v>
      </c>
      <c r="D7" s="17" t="s">
        <v>118</v>
      </c>
      <c r="E7" s="17" t="s">
        <v>123</v>
      </c>
      <c r="F7" s="17" t="s">
        <v>217</v>
      </c>
    </row>
    <row r="8">
      <c r="A8" s="17" t="s">
        <v>213</v>
      </c>
      <c r="B8" s="17">
        <v>9.0</v>
      </c>
      <c r="C8" s="17" t="s">
        <v>38</v>
      </c>
      <c r="D8" s="17" t="s">
        <v>126</v>
      </c>
      <c r="E8" s="17" t="s">
        <v>127</v>
      </c>
      <c r="F8" s="17" t="s">
        <v>217</v>
      </c>
    </row>
    <row r="9">
      <c r="A9" s="17" t="s">
        <v>213</v>
      </c>
      <c r="B9" s="17">
        <v>10.0</v>
      </c>
      <c r="C9" s="17" t="s">
        <v>38</v>
      </c>
      <c r="D9" s="17" t="s">
        <v>129</v>
      </c>
      <c r="E9" s="17" t="s">
        <v>219</v>
      </c>
      <c r="F9" s="17" t="s">
        <v>217</v>
      </c>
    </row>
    <row r="10">
      <c r="A10" s="17" t="s">
        <v>213</v>
      </c>
      <c r="B10" s="17">
        <v>11.0</v>
      </c>
      <c r="C10" s="17" t="s">
        <v>38</v>
      </c>
      <c r="D10" s="17" t="s">
        <v>220</v>
      </c>
      <c r="E10" s="17" t="s">
        <v>216</v>
      </c>
      <c r="F10" s="17" t="s">
        <v>217</v>
      </c>
    </row>
    <row r="11">
      <c r="A11" s="17" t="s">
        <v>213</v>
      </c>
      <c r="B11" s="17">
        <v>12.0</v>
      </c>
      <c r="C11" s="17" t="s">
        <v>38</v>
      </c>
      <c r="D11" s="17" t="s">
        <v>224</v>
      </c>
      <c r="E11" s="17" t="s">
        <v>225</v>
      </c>
      <c r="F11" s="17" t="s">
        <v>217</v>
      </c>
    </row>
    <row r="12">
      <c r="A12" s="17" t="s">
        <v>213</v>
      </c>
      <c r="B12" s="17">
        <v>13.0</v>
      </c>
      <c r="C12" s="17" t="s">
        <v>38</v>
      </c>
      <c r="D12" s="17" t="s">
        <v>136</v>
      </c>
      <c r="E12" s="17" t="s">
        <v>139</v>
      </c>
      <c r="F12" s="17" t="s">
        <v>217</v>
      </c>
    </row>
    <row r="13">
      <c r="A13" s="17" t="s">
        <v>213</v>
      </c>
      <c r="B13" s="17">
        <v>14.0</v>
      </c>
      <c r="C13" s="17" t="s">
        <v>38</v>
      </c>
      <c r="D13" s="17" t="s">
        <v>144</v>
      </c>
      <c r="E13" s="17" t="s">
        <v>226</v>
      </c>
      <c r="F13" s="17" t="s">
        <v>217</v>
      </c>
    </row>
    <row r="14">
      <c r="A14" s="17" t="s">
        <v>213</v>
      </c>
      <c r="B14" s="17">
        <v>15.0</v>
      </c>
      <c r="C14" s="17" t="s">
        <v>38</v>
      </c>
      <c r="D14" s="17" t="s">
        <v>152</v>
      </c>
      <c r="E14" s="17" t="s">
        <v>229</v>
      </c>
      <c r="F14" s="17" t="s">
        <v>217</v>
      </c>
    </row>
    <row r="15">
      <c r="A15" s="17" t="s">
        <v>213</v>
      </c>
      <c r="B15" s="17">
        <v>16.0</v>
      </c>
      <c r="C15" s="17" t="s">
        <v>38</v>
      </c>
      <c r="D15" s="17" t="s">
        <v>190</v>
      </c>
      <c r="E15" s="17" t="s">
        <v>230</v>
      </c>
      <c r="F15" s="17" t="s">
        <v>217</v>
      </c>
    </row>
    <row r="16">
      <c r="A16" s="17" t="s">
        <v>213</v>
      </c>
      <c r="B16" s="17">
        <v>17.0</v>
      </c>
      <c r="C16" s="17" t="s">
        <v>38</v>
      </c>
      <c r="D16" s="17" t="s">
        <v>231</v>
      </c>
      <c r="E16" s="17" t="s">
        <v>232</v>
      </c>
      <c r="F16" s="17" t="s">
        <v>217</v>
      </c>
    </row>
    <row r="17">
      <c r="A17" s="17" t="s">
        <v>213</v>
      </c>
      <c r="B17" s="17">
        <v>18.0</v>
      </c>
      <c r="C17" s="17" t="s">
        <v>38</v>
      </c>
      <c r="D17" s="17" t="s">
        <v>202</v>
      </c>
      <c r="E17" s="17" t="s">
        <v>236</v>
      </c>
      <c r="F17" s="17" t="s">
        <v>217</v>
      </c>
    </row>
    <row r="18">
      <c r="A18" s="17" t="s">
        <v>213</v>
      </c>
      <c r="B18" s="17">
        <v>19.0</v>
      </c>
      <c r="C18" s="17" t="s">
        <v>38</v>
      </c>
      <c r="D18" s="17" t="s">
        <v>210</v>
      </c>
      <c r="E18" s="17"/>
      <c r="F18" s="17" t="s">
        <v>217</v>
      </c>
    </row>
    <row r="19">
      <c r="A19" s="17" t="s">
        <v>213</v>
      </c>
      <c r="B19" s="17">
        <v>20.0</v>
      </c>
      <c r="C19" s="17" t="s">
        <v>38</v>
      </c>
      <c r="D19" s="17" t="s">
        <v>228</v>
      </c>
      <c r="E19" s="17" t="s">
        <v>237</v>
      </c>
      <c r="F19" s="17" t="s">
        <v>217</v>
      </c>
    </row>
    <row r="20">
      <c r="A20" s="17" t="s">
        <v>213</v>
      </c>
      <c r="B20" s="17">
        <v>23.0</v>
      </c>
      <c r="C20" s="17" t="s">
        <v>87</v>
      </c>
      <c r="D20" s="17" t="s">
        <v>239</v>
      </c>
      <c r="E20" s="17" t="s">
        <v>240</v>
      </c>
      <c r="F20" s="17" t="s">
        <v>217</v>
      </c>
    </row>
    <row r="21" ht="15.75" customHeight="1">
      <c r="A21" s="17" t="s">
        <v>213</v>
      </c>
      <c r="B21" s="17">
        <v>24.0</v>
      </c>
      <c r="C21" s="17" t="s">
        <v>87</v>
      </c>
      <c r="D21" s="17" t="s">
        <v>241</v>
      </c>
      <c r="E21" s="17" t="s">
        <v>242</v>
      </c>
      <c r="F21" s="17" t="s">
        <v>217</v>
      </c>
    </row>
    <row r="22" ht="15.75" customHeight="1">
      <c r="A22" s="17" t="s">
        <v>213</v>
      </c>
      <c r="B22" s="17">
        <v>25.0</v>
      </c>
      <c r="C22" s="17" t="s">
        <v>87</v>
      </c>
      <c r="D22" s="17" t="s">
        <v>224</v>
      </c>
      <c r="E22" s="17" t="s">
        <v>225</v>
      </c>
      <c r="F22" s="17" t="s">
        <v>217</v>
      </c>
    </row>
    <row r="23" ht="15.75" customHeight="1">
      <c r="A23" s="17" t="s">
        <v>213</v>
      </c>
      <c r="B23" s="17">
        <v>26.0</v>
      </c>
      <c r="C23" s="17" t="s">
        <v>87</v>
      </c>
      <c r="D23" s="17" t="s">
        <v>129</v>
      </c>
      <c r="E23" s="17" t="s">
        <v>130</v>
      </c>
      <c r="F23" s="17" t="s">
        <v>217</v>
      </c>
    </row>
    <row r="24" ht="15.75" customHeight="1">
      <c r="A24" s="17" t="s">
        <v>213</v>
      </c>
      <c r="B24" s="17">
        <v>27.0</v>
      </c>
      <c r="C24" s="17" t="s">
        <v>87</v>
      </c>
      <c r="D24" s="17" t="s">
        <v>252</v>
      </c>
      <c r="E24" s="17" t="s">
        <v>254</v>
      </c>
      <c r="F24" s="17" t="s">
        <v>217</v>
      </c>
    </row>
    <row r="25" ht="15.75" customHeight="1">
      <c r="A25" s="17" t="s">
        <v>213</v>
      </c>
      <c r="B25" s="17">
        <v>28.0</v>
      </c>
      <c r="C25" s="17" t="s">
        <v>87</v>
      </c>
      <c r="D25" s="17" t="s">
        <v>256</v>
      </c>
      <c r="E25" s="17" t="s">
        <v>257</v>
      </c>
      <c r="F25" s="17" t="s">
        <v>217</v>
      </c>
    </row>
    <row r="26" ht="15.75" customHeight="1">
      <c r="A26" s="17" t="s">
        <v>213</v>
      </c>
      <c r="B26" s="17">
        <v>29.0</v>
      </c>
      <c r="C26" s="17" t="s">
        <v>87</v>
      </c>
      <c r="D26" s="17" t="s">
        <v>261</v>
      </c>
      <c r="E26" s="17" t="s">
        <v>262</v>
      </c>
      <c r="F26" s="17" t="s">
        <v>217</v>
      </c>
    </row>
    <row r="27" ht="15.75" customHeight="1">
      <c r="A27" s="17" t="s">
        <v>213</v>
      </c>
      <c r="B27" s="17">
        <v>30.0</v>
      </c>
      <c r="C27" s="17" t="s">
        <v>87</v>
      </c>
      <c r="D27" s="17" t="s">
        <v>266</v>
      </c>
      <c r="E27" s="17" t="s">
        <v>267</v>
      </c>
      <c r="F27" s="17" t="s">
        <v>217</v>
      </c>
    </row>
    <row r="28" ht="15.75" customHeight="1">
      <c r="A28" s="17" t="s">
        <v>213</v>
      </c>
      <c r="B28" s="17">
        <v>31.0</v>
      </c>
      <c r="C28" s="17" t="s">
        <v>87</v>
      </c>
      <c r="D28" s="17" t="s">
        <v>271</v>
      </c>
      <c r="E28" s="17" t="s">
        <v>273</v>
      </c>
      <c r="F28" s="17" t="s">
        <v>217</v>
      </c>
    </row>
    <row r="29" ht="15.75" customHeight="1">
      <c r="A29" s="17" t="s">
        <v>213</v>
      </c>
      <c r="B29" s="17">
        <v>32.0</v>
      </c>
      <c r="C29" s="17" t="s">
        <v>87</v>
      </c>
      <c r="D29" s="17" t="s">
        <v>276</v>
      </c>
      <c r="E29" s="17" t="s">
        <v>278</v>
      </c>
      <c r="F29" s="17" t="s">
        <v>217</v>
      </c>
    </row>
    <row r="30" ht="15.75" customHeight="1">
      <c r="A30" s="17" t="s">
        <v>213</v>
      </c>
      <c r="B30" s="17">
        <v>33.0</v>
      </c>
      <c r="C30" s="17" t="s">
        <v>87</v>
      </c>
      <c r="D30" s="17" t="s">
        <v>282</v>
      </c>
      <c r="E30" s="17" t="s">
        <v>284</v>
      </c>
      <c r="F30" s="17" t="s">
        <v>217</v>
      </c>
    </row>
    <row r="31" ht="15.75" customHeight="1">
      <c r="A31" s="17" t="s">
        <v>213</v>
      </c>
      <c r="B31" s="17">
        <v>34.0</v>
      </c>
      <c r="C31" s="17" t="s">
        <v>87</v>
      </c>
      <c r="D31" s="17" t="s">
        <v>287</v>
      </c>
      <c r="E31" s="17" t="s">
        <v>289</v>
      </c>
      <c r="F31" s="17" t="s">
        <v>217</v>
      </c>
    </row>
    <row r="32" ht="15.75" customHeight="1">
      <c r="A32" s="17" t="s">
        <v>213</v>
      </c>
      <c r="B32" s="17">
        <v>35.0</v>
      </c>
      <c r="C32" s="17" t="s">
        <v>87</v>
      </c>
      <c r="D32" s="17" t="s">
        <v>295</v>
      </c>
      <c r="E32" s="17" t="s">
        <v>298</v>
      </c>
      <c r="F32" s="17" t="s">
        <v>217</v>
      </c>
    </row>
    <row r="33" ht="15.75" customHeight="1">
      <c r="A33" s="17" t="s">
        <v>213</v>
      </c>
      <c r="B33" s="17">
        <v>36.0</v>
      </c>
      <c r="C33" s="17" t="s">
        <v>87</v>
      </c>
      <c r="D33" s="17" t="s">
        <v>301</v>
      </c>
      <c r="E33" s="17" t="s">
        <v>303</v>
      </c>
      <c r="F33" s="17" t="s">
        <v>217</v>
      </c>
    </row>
    <row r="34" ht="15.75" customHeight="1">
      <c r="A34" s="17" t="s">
        <v>213</v>
      </c>
      <c r="B34" s="17">
        <v>37.0</v>
      </c>
      <c r="C34" s="17" t="s">
        <v>87</v>
      </c>
      <c r="D34" s="17" t="s">
        <v>304</v>
      </c>
      <c r="E34" s="17" t="s">
        <v>305</v>
      </c>
      <c r="F34" s="17" t="s">
        <v>217</v>
      </c>
    </row>
    <row r="35" ht="15.75" customHeight="1">
      <c r="A35" s="17" t="s">
        <v>213</v>
      </c>
      <c r="B35" s="17">
        <v>38.0</v>
      </c>
      <c r="C35" s="17" t="s">
        <v>87</v>
      </c>
      <c r="D35" s="17" t="s">
        <v>307</v>
      </c>
      <c r="E35" s="17" t="s">
        <v>308</v>
      </c>
      <c r="F35" s="17" t="s">
        <v>217</v>
      </c>
    </row>
    <row r="36" ht="15.75" customHeight="1">
      <c r="A36" s="17" t="s">
        <v>213</v>
      </c>
      <c r="B36" s="17">
        <v>39.0</v>
      </c>
      <c r="C36" s="17" t="s">
        <v>87</v>
      </c>
      <c r="D36" s="17" t="s">
        <v>309</v>
      </c>
      <c r="E36" s="17" t="s">
        <v>310</v>
      </c>
      <c r="F36" s="17" t="s">
        <v>217</v>
      </c>
    </row>
    <row r="37" ht="15.75" customHeight="1">
      <c r="A37" s="17" t="s">
        <v>213</v>
      </c>
      <c r="B37" s="17">
        <v>40.0</v>
      </c>
      <c r="C37" s="17" t="s">
        <v>87</v>
      </c>
      <c r="D37" s="17" t="s">
        <v>315</v>
      </c>
      <c r="E37" s="17" t="s">
        <v>316</v>
      </c>
      <c r="F37" s="17" t="s">
        <v>217</v>
      </c>
    </row>
    <row r="38" ht="15.75" customHeight="1">
      <c r="A38" s="17" t="s">
        <v>213</v>
      </c>
      <c r="B38" s="17">
        <v>41.0</v>
      </c>
      <c r="C38" s="17" t="s">
        <v>87</v>
      </c>
      <c r="D38" s="17" t="s">
        <v>318</v>
      </c>
      <c r="E38" s="17" t="s">
        <v>319</v>
      </c>
      <c r="F38" s="17" t="s">
        <v>217</v>
      </c>
    </row>
    <row r="39" ht="15.75" customHeight="1">
      <c r="A39" s="17" t="s">
        <v>213</v>
      </c>
      <c r="B39" s="17">
        <v>42.0</v>
      </c>
      <c r="C39" s="17" t="s">
        <v>87</v>
      </c>
      <c r="D39" s="17" t="s">
        <v>320</v>
      </c>
      <c r="E39" s="17" t="s">
        <v>321</v>
      </c>
      <c r="F39" s="17" t="s">
        <v>217</v>
      </c>
    </row>
    <row r="40" ht="15.75" customHeight="1">
      <c r="A40" s="17" t="s">
        <v>213</v>
      </c>
      <c r="B40" s="17">
        <v>43.0</v>
      </c>
      <c r="C40" s="17" t="s">
        <v>87</v>
      </c>
      <c r="D40" s="17" t="s">
        <v>322</v>
      </c>
      <c r="E40" s="17" t="s">
        <v>323</v>
      </c>
      <c r="F40" s="17" t="s">
        <v>217</v>
      </c>
    </row>
    <row r="41" ht="15.75" customHeight="1">
      <c r="A41" s="17" t="s">
        <v>213</v>
      </c>
      <c r="B41" s="17">
        <v>46.0</v>
      </c>
      <c r="C41" s="17" t="s">
        <v>85</v>
      </c>
      <c r="D41" s="17" t="s">
        <v>324</v>
      </c>
      <c r="E41" s="17" t="s">
        <v>325</v>
      </c>
      <c r="F41" s="17" t="s">
        <v>217</v>
      </c>
    </row>
    <row r="42" ht="15.75" customHeight="1">
      <c r="A42" s="17" t="s">
        <v>213</v>
      </c>
      <c r="B42" s="17">
        <v>47.0</v>
      </c>
      <c r="C42" s="17" t="s">
        <v>85</v>
      </c>
      <c r="D42" s="17" t="s">
        <v>326</v>
      </c>
      <c r="E42" s="17" t="s">
        <v>327</v>
      </c>
      <c r="F42" s="17" t="s">
        <v>217</v>
      </c>
    </row>
    <row r="43" ht="15.75" customHeight="1">
      <c r="A43" s="17" t="s">
        <v>213</v>
      </c>
      <c r="B43" s="17">
        <v>48.0</v>
      </c>
      <c r="C43" s="17" t="s">
        <v>85</v>
      </c>
      <c r="D43" s="17" t="s">
        <v>328</v>
      </c>
      <c r="E43" s="17" t="s">
        <v>329</v>
      </c>
      <c r="F43" s="17" t="s">
        <v>217</v>
      </c>
    </row>
    <row r="44" ht="15.75" customHeight="1">
      <c r="A44" s="17" t="s">
        <v>213</v>
      </c>
      <c r="B44" s="17">
        <v>49.0</v>
      </c>
      <c r="C44" s="17" t="s">
        <v>85</v>
      </c>
      <c r="D44" s="17" t="s">
        <v>330</v>
      </c>
      <c r="E44" s="17" t="s">
        <v>331</v>
      </c>
      <c r="F44" s="17" t="s">
        <v>217</v>
      </c>
    </row>
    <row r="45" ht="15.75" customHeight="1">
      <c r="A45" s="17" t="s">
        <v>213</v>
      </c>
      <c r="B45" s="17">
        <v>50.0</v>
      </c>
      <c r="C45" s="17" t="s">
        <v>85</v>
      </c>
      <c r="D45" s="17" t="s">
        <v>332</v>
      </c>
      <c r="E45" s="17" t="s">
        <v>333</v>
      </c>
      <c r="F45" s="17" t="s">
        <v>217</v>
      </c>
    </row>
    <row r="46" ht="15.75" customHeight="1">
      <c r="A46" s="17" t="s">
        <v>213</v>
      </c>
      <c r="B46" s="17">
        <v>51.0</v>
      </c>
      <c r="C46" s="17" t="s">
        <v>85</v>
      </c>
      <c r="D46" s="17" t="s">
        <v>334</v>
      </c>
      <c r="E46" s="17" t="s">
        <v>335</v>
      </c>
      <c r="F46" s="17" t="s">
        <v>217</v>
      </c>
    </row>
    <row r="47" ht="15.75" customHeight="1">
      <c r="A47" s="17" t="s">
        <v>213</v>
      </c>
      <c r="B47" s="17">
        <v>52.0</v>
      </c>
      <c r="C47" s="17" t="s">
        <v>85</v>
      </c>
      <c r="D47" s="17" t="s">
        <v>336</v>
      </c>
      <c r="E47" s="17" t="s">
        <v>337</v>
      </c>
      <c r="F47" s="17" t="s">
        <v>217</v>
      </c>
    </row>
    <row r="48" ht="15.75" customHeight="1">
      <c r="A48" s="17" t="s">
        <v>213</v>
      </c>
      <c r="B48" s="17">
        <v>53.0</v>
      </c>
      <c r="C48" s="17" t="s">
        <v>85</v>
      </c>
      <c r="D48" s="17" t="s">
        <v>338</v>
      </c>
      <c r="E48" s="17" t="s">
        <v>339</v>
      </c>
      <c r="F48" s="17" t="s">
        <v>217</v>
      </c>
    </row>
    <row r="49" ht="15.75" customHeight="1">
      <c r="A49" s="17" t="s">
        <v>213</v>
      </c>
      <c r="B49" s="17">
        <v>54.0</v>
      </c>
      <c r="C49" s="17" t="s">
        <v>85</v>
      </c>
      <c r="D49" s="17" t="s">
        <v>340</v>
      </c>
      <c r="E49" s="17" t="s">
        <v>341</v>
      </c>
      <c r="F49" s="17" t="s">
        <v>217</v>
      </c>
    </row>
    <row r="50" ht="15.75" customHeight="1">
      <c r="A50" s="17" t="s">
        <v>213</v>
      </c>
      <c r="B50" s="17">
        <v>55.0</v>
      </c>
      <c r="C50" s="17" t="s">
        <v>85</v>
      </c>
      <c r="D50" s="17" t="s">
        <v>360</v>
      </c>
      <c r="E50" s="17" t="s">
        <v>361</v>
      </c>
      <c r="F50" s="17" t="s">
        <v>217</v>
      </c>
    </row>
    <row r="51" ht="15.75" customHeight="1">
      <c r="A51" s="17" t="s">
        <v>213</v>
      </c>
      <c r="B51" s="17">
        <v>56.0</v>
      </c>
      <c r="C51" s="17" t="s">
        <v>85</v>
      </c>
      <c r="D51" s="17" t="s">
        <v>363</v>
      </c>
      <c r="E51" s="17" t="s">
        <v>364</v>
      </c>
      <c r="F51" s="17" t="s">
        <v>217</v>
      </c>
    </row>
    <row r="52" ht="15.75" customHeight="1">
      <c r="A52" s="17" t="s">
        <v>213</v>
      </c>
      <c r="B52" s="17">
        <v>57.0</v>
      </c>
      <c r="C52" s="17" t="s">
        <v>85</v>
      </c>
      <c r="D52" s="17" t="s">
        <v>365</v>
      </c>
      <c r="E52" s="17" t="s">
        <v>366</v>
      </c>
      <c r="F52" s="17" t="s">
        <v>217</v>
      </c>
    </row>
    <row r="53" ht="15.75" customHeight="1">
      <c r="A53" s="17" t="s">
        <v>213</v>
      </c>
      <c r="B53" s="17">
        <v>58.0</v>
      </c>
      <c r="C53" s="17" t="s">
        <v>85</v>
      </c>
      <c r="D53" s="17" t="s">
        <v>368</v>
      </c>
      <c r="E53" s="17" t="s">
        <v>369</v>
      </c>
      <c r="F53" s="17" t="s">
        <v>217</v>
      </c>
    </row>
    <row r="54" ht="15.75" customHeight="1">
      <c r="A54" s="17" t="s">
        <v>213</v>
      </c>
      <c r="B54" s="17">
        <v>59.0</v>
      </c>
      <c r="C54" s="17" t="s">
        <v>85</v>
      </c>
      <c r="D54" s="17" t="s">
        <v>370</v>
      </c>
      <c r="E54" s="17" t="s">
        <v>371</v>
      </c>
      <c r="F54" s="17" t="s">
        <v>217</v>
      </c>
    </row>
    <row r="55" ht="15.75" customHeight="1">
      <c r="A55" s="17" t="s">
        <v>213</v>
      </c>
      <c r="B55" s="17">
        <v>60.0</v>
      </c>
      <c r="C55" s="17" t="s">
        <v>85</v>
      </c>
      <c r="D55" s="17" t="s">
        <v>373</v>
      </c>
      <c r="E55" s="17" t="s">
        <v>374</v>
      </c>
      <c r="F55" s="17" t="s">
        <v>217</v>
      </c>
    </row>
    <row r="56" ht="15.75" customHeight="1">
      <c r="A56" s="17" t="s">
        <v>213</v>
      </c>
      <c r="B56" s="17">
        <v>61.0</v>
      </c>
      <c r="C56" s="17" t="s">
        <v>85</v>
      </c>
      <c r="D56" s="17" t="s">
        <v>375</v>
      </c>
      <c r="E56" s="17" t="s">
        <v>376</v>
      </c>
      <c r="F56" s="17" t="s">
        <v>217</v>
      </c>
    </row>
    <row r="57" ht="15.75" customHeight="1">
      <c r="A57" s="17" t="s">
        <v>213</v>
      </c>
      <c r="B57" s="17">
        <v>62.0</v>
      </c>
      <c r="C57" s="17" t="s">
        <v>85</v>
      </c>
      <c r="D57" s="17" t="s">
        <v>377</v>
      </c>
      <c r="E57" s="17" t="s">
        <v>379</v>
      </c>
      <c r="F57" s="17" t="s">
        <v>217</v>
      </c>
    </row>
    <row r="58" ht="15.75" customHeight="1">
      <c r="A58" s="17" t="s">
        <v>213</v>
      </c>
      <c r="B58" s="17">
        <v>63.0</v>
      </c>
      <c r="C58" s="17" t="s">
        <v>85</v>
      </c>
      <c r="D58" s="17" t="s">
        <v>380</v>
      </c>
      <c r="E58" s="17" t="s">
        <v>381</v>
      </c>
      <c r="F58" s="17" t="s">
        <v>217</v>
      </c>
    </row>
    <row r="59" ht="15.75" customHeight="1">
      <c r="A59" s="17" t="s">
        <v>213</v>
      </c>
      <c r="B59" s="17">
        <v>64.0</v>
      </c>
      <c r="C59" s="17" t="s">
        <v>85</v>
      </c>
      <c r="D59" s="17" t="s">
        <v>382</v>
      </c>
      <c r="E59" s="17" t="s">
        <v>383</v>
      </c>
      <c r="F59" s="17" t="s">
        <v>217</v>
      </c>
    </row>
    <row r="60" ht="15.75" customHeight="1">
      <c r="A60" s="17" t="s">
        <v>213</v>
      </c>
      <c r="B60" s="17">
        <v>67.0</v>
      </c>
      <c r="C60" s="17" t="s">
        <v>82</v>
      </c>
      <c r="D60" s="17" t="s">
        <v>384</v>
      </c>
      <c r="E60" s="17" t="s">
        <v>385</v>
      </c>
      <c r="F60" s="17" t="s">
        <v>217</v>
      </c>
    </row>
    <row r="61" ht="15.75" customHeight="1">
      <c r="A61" s="17" t="s">
        <v>213</v>
      </c>
      <c r="B61" s="17">
        <v>68.0</v>
      </c>
      <c r="C61" s="17" t="s">
        <v>82</v>
      </c>
      <c r="D61" s="17" t="s">
        <v>386</v>
      </c>
      <c r="E61" s="17" t="s">
        <v>387</v>
      </c>
      <c r="F61" s="17" t="s">
        <v>217</v>
      </c>
    </row>
    <row r="62" ht="15.75" customHeight="1">
      <c r="A62" s="17" t="s">
        <v>213</v>
      </c>
      <c r="B62" s="17">
        <v>69.0</v>
      </c>
      <c r="C62" s="17" t="s">
        <v>82</v>
      </c>
      <c r="D62" s="17" t="s">
        <v>388</v>
      </c>
      <c r="E62" s="17" t="s">
        <v>389</v>
      </c>
      <c r="F62" s="17" t="s">
        <v>217</v>
      </c>
    </row>
    <row r="63" ht="15.75" customHeight="1">
      <c r="A63" s="17" t="s">
        <v>213</v>
      </c>
      <c r="B63" s="17">
        <v>70.0</v>
      </c>
      <c r="C63" s="17" t="s">
        <v>82</v>
      </c>
      <c r="D63" s="17" t="s">
        <v>390</v>
      </c>
      <c r="E63" s="17" t="s">
        <v>391</v>
      </c>
      <c r="F63" s="17" t="s">
        <v>217</v>
      </c>
    </row>
    <row r="64" ht="15.75" customHeight="1">
      <c r="A64" s="17" t="s">
        <v>213</v>
      </c>
      <c r="B64" s="17">
        <v>71.0</v>
      </c>
      <c r="C64" s="17" t="s">
        <v>82</v>
      </c>
      <c r="D64" s="17" t="s">
        <v>392</v>
      </c>
      <c r="E64" s="17" t="s">
        <v>393</v>
      </c>
      <c r="F64" s="17" t="s">
        <v>217</v>
      </c>
    </row>
    <row r="65" ht="15.75" customHeight="1">
      <c r="A65" s="17" t="s">
        <v>213</v>
      </c>
      <c r="B65" s="17">
        <v>72.0</v>
      </c>
      <c r="C65" s="17" t="s">
        <v>82</v>
      </c>
      <c r="D65" s="17" t="s">
        <v>394</v>
      </c>
      <c r="E65" s="17" t="s">
        <v>395</v>
      </c>
      <c r="F65" s="17" t="s">
        <v>217</v>
      </c>
    </row>
    <row r="66" ht="15.75" customHeight="1">
      <c r="A66" s="17" t="s">
        <v>213</v>
      </c>
      <c r="B66" s="17">
        <v>73.0</v>
      </c>
      <c r="C66" s="17" t="s">
        <v>82</v>
      </c>
      <c r="D66" s="17" t="s">
        <v>396</v>
      </c>
      <c r="E66" s="17" t="s">
        <v>397</v>
      </c>
      <c r="F66" s="17" t="s">
        <v>217</v>
      </c>
    </row>
    <row r="67" ht="15.75" customHeight="1">
      <c r="A67" s="17" t="s">
        <v>213</v>
      </c>
      <c r="B67" s="17">
        <v>74.0</v>
      </c>
      <c r="C67" s="17" t="s">
        <v>82</v>
      </c>
      <c r="D67" s="17" t="s">
        <v>398</v>
      </c>
      <c r="E67" s="17" t="s">
        <v>399</v>
      </c>
      <c r="F67" s="17" t="s">
        <v>217</v>
      </c>
    </row>
    <row r="68" ht="15.75" customHeight="1">
      <c r="A68" s="17" t="s">
        <v>213</v>
      </c>
      <c r="B68" s="17">
        <v>75.0</v>
      </c>
      <c r="C68" s="17" t="s">
        <v>82</v>
      </c>
      <c r="D68" s="17" t="s">
        <v>401</v>
      </c>
      <c r="E68" s="17" t="s">
        <v>402</v>
      </c>
      <c r="F68" s="17" t="s">
        <v>217</v>
      </c>
    </row>
    <row r="69" ht="15.75" customHeight="1">
      <c r="A69" s="17" t="s">
        <v>213</v>
      </c>
      <c r="B69" s="17">
        <v>76.0</v>
      </c>
      <c r="C69" s="17" t="s">
        <v>82</v>
      </c>
      <c r="D69" s="17" t="s">
        <v>403</v>
      </c>
      <c r="E69" s="17" t="s">
        <v>404</v>
      </c>
      <c r="F69" s="17" t="s">
        <v>217</v>
      </c>
    </row>
    <row r="70" ht="15.75" customHeight="1">
      <c r="A70" s="17" t="s">
        <v>213</v>
      </c>
      <c r="B70" s="17">
        <v>77.0</v>
      </c>
      <c r="C70" s="17" t="s">
        <v>82</v>
      </c>
      <c r="D70" s="17" t="s">
        <v>405</v>
      </c>
      <c r="E70" s="17" t="s">
        <v>406</v>
      </c>
      <c r="F70" s="17" t="s">
        <v>217</v>
      </c>
    </row>
    <row r="71" ht="15.75" customHeight="1">
      <c r="A71" s="17" t="s">
        <v>213</v>
      </c>
      <c r="B71" s="17">
        <v>78.0</v>
      </c>
      <c r="C71" s="17" t="s">
        <v>82</v>
      </c>
      <c r="D71" s="17" t="s">
        <v>407</v>
      </c>
      <c r="E71" s="17" t="s">
        <v>409</v>
      </c>
      <c r="F71" s="17" t="s">
        <v>217</v>
      </c>
    </row>
    <row r="72" ht="15.75" customHeight="1">
      <c r="A72" s="17" t="s">
        <v>213</v>
      </c>
      <c r="B72" s="17">
        <v>79.0</v>
      </c>
      <c r="C72" s="17" t="s">
        <v>82</v>
      </c>
      <c r="D72" s="17" t="s">
        <v>410</v>
      </c>
      <c r="E72" s="17" t="s">
        <v>411</v>
      </c>
      <c r="F72" s="17" t="s">
        <v>217</v>
      </c>
    </row>
    <row r="73" ht="15.75" customHeight="1">
      <c r="A73" s="17" t="s">
        <v>213</v>
      </c>
      <c r="B73" s="17">
        <v>80.0</v>
      </c>
      <c r="C73" s="17" t="s">
        <v>82</v>
      </c>
      <c r="D73" s="17" t="s">
        <v>412</v>
      </c>
      <c r="E73" s="17" t="s">
        <v>413</v>
      </c>
      <c r="F73" s="17" t="s">
        <v>217</v>
      </c>
    </row>
    <row r="74" ht="15.75" customHeight="1">
      <c r="A74" s="17" t="s">
        <v>213</v>
      </c>
      <c r="B74" s="17">
        <v>81.0</v>
      </c>
      <c r="C74" s="17" t="s">
        <v>82</v>
      </c>
      <c r="D74" s="17" t="s">
        <v>414</v>
      </c>
      <c r="E74" s="17" t="s">
        <v>415</v>
      </c>
      <c r="F74" s="17" t="s">
        <v>217</v>
      </c>
    </row>
    <row r="75" ht="15.75" customHeight="1">
      <c r="A75" s="17" t="s">
        <v>213</v>
      </c>
      <c r="B75" s="17">
        <v>82.0</v>
      </c>
      <c r="C75" s="17" t="s">
        <v>82</v>
      </c>
      <c r="D75" s="17" t="s">
        <v>417</v>
      </c>
      <c r="E75" s="17" t="s">
        <v>418</v>
      </c>
      <c r="F75" s="17" t="s">
        <v>217</v>
      </c>
    </row>
    <row r="76" ht="15.75" customHeight="1">
      <c r="A76" s="17" t="s">
        <v>213</v>
      </c>
      <c r="B76" s="17">
        <v>83.0</v>
      </c>
      <c r="C76" s="17" t="s">
        <v>82</v>
      </c>
      <c r="D76" s="17" t="s">
        <v>419</v>
      </c>
      <c r="E76" s="17" t="s">
        <v>420</v>
      </c>
      <c r="F76" s="17" t="s">
        <v>217</v>
      </c>
    </row>
    <row r="77" ht="15.75" customHeight="1">
      <c r="A77" s="17" t="s">
        <v>213</v>
      </c>
      <c r="B77" s="17">
        <v>84.0</v>
      </c>
      <c r="C77" s="17" t="s">
        <v>82</v>
      </c>
      <c r="D77" s="17" t="s">
        <v>421</v>
      </c>
      <c r="E77" s="17" t="s">
        <v>422</v>
      </c>
      <c r="F77" s="17" t="s">
        <v>217</v>
      </c>
    </row>
    <row r="78" ht="15.75" customHeight="1">
      <c r="A78" s="17" t="s">
        <v>213</v>
      </c>
      <c r="B78" s="17">
        <v>85.0</v>
      </c>
      <c r="C78" s="17" t="s">
        <v>82</v>
      </c>
      <c r="D78" s="17" t="s">
        <v>423</v>
      </c>
      <c r="E78" s="17" t="s">
        <v>327</v>
      </c>
      <c r="F78" s="17" t="s">
        <v>217</v>
      </c>
    </row>
    <row r="79" ht="15.75" customHeight="1">
      <c r="A79" s="17" t="s">
        <v>213</v>
      </c>
      <c r="B79" s="17">
        <v>86.0</v>
      </c>
      <c r="C79" s="17" t="s">
        <v>82</v>
      </c>
      <c r="D79" s="17" t="s">
        <v>426</v>
      </c>
      <c r="E79" s="17" t="s">
        <v>427</v>
      </c>
      <c r="F79" s="17" t="s">
        <v>217</v>
      </c>
    </row>
    <row r="80" ht="15.75" customHeight="1">
      <c r="A80" s="17" t="s">
        <v>213</v>
      </c>
      <c r="B80" s="17">
        <v>87.0</v>
      </c>
      <c r="C80" s="17" t="s">
        <v>82</v>
      </c>
      <c r="D80" s="17" t="s">
        <v>428</v>
      </c>
      <c r="E80" s="17" t="s">
        <v>430</v>
      </c>
      <c r="F80" s="17" t="s">
        <v>217</v>
      </c>
    </row>
    <row r="81" ht="15.75" customHeight="1">
      <c r="A81" s="17" t="s">
        <v>213</v>
      </c>
      <c r="B81" s="17">
        <v>88.0</v>
      </c>
      <c r="C81" s="17" t="s">
        <v>82</v>
      </c>
      <c r="D81" s="17" t="s">
        <v>431</v>
      </c>
      <c r="E81" s="17" t="s">
        <v>432</v>
      </c>
      <c r="F81" s="17" t="s">
        <v>217</v>
      </c>
    </row>
    <row r="82" ht="15.75" customHeight="1">
      <c r="A82" s="17" t="s">
        <v>213</v>
      </c>
      <c r="B82" s="17">
        <v>89.0</v>
      </c>
      <c r="C82" s="17" t="s">
        <v>82</v>
      </c>
      <c r="D82" s="17" t="s">
        <v>434</v>
      </c>
      <c r="E82" s="17" t="s">
        <v>435</v>
      </c>
      <c r="F82" s="17" t="s">
        <v>217</v>
      </c>
    </row>
    <row r="83" ht="15.75" customHeight="1">
      <c r="A83" s="17" t="s">
        <v>213</v>
      </c>
      <c r="B83" s="17">
        <v>90.0</v>
      </c>
      <c r="C83" s="17" t="s">
        <v>82</v>
      </c>
      <c r="D83" s="17" t="s">
        <v>436</v>
      </c>
      <c r="E83" s="17" t="s">
        <v>437</v>
      </c>
      <c r="F83" s="17" t="s">
        <v>217</v>
      </c>
    </row>
    <row r="84" ht="15.75" customHeight="1">
      <c r="A84" s="17" t="s">
        <v>213</v>
      </c>
      <c r="B84" s="17">
        <v>91.0</v>
      </c>
      <c r="C84" s="17" t="s">
        <v>82</v>
      </c>
      <c r="D84" s="17" t="s">
        <v>438</v>
      </c>
      <c r="E84" s="17" t="s">
        <v>439</v>
      </c>
      <c r="F84" s="17" t="s">
        <v>217</v>
      </c>
    </row>
    <row r="85" ht="15.75" customHeight="1">
      <c r="A85" s="17" t="s">
        <v>213</v>
      </c>
      <c r="B85" s="17">
        <v>92.0</v>
      </c>
      <c r="C85" s="17" t="s">
        <v>82</v>
      </c>
      <c r="D85" s="17" t="s">
        <v>440</v>
      </c>
      <c r="E85" s="17" t="s">
        <v>442</v>
      </c>
      <c r="F85" s="17" t="s">
        <v>217</v>
      </c>
    </row>
    <row r="86" ht="15.75" customHeight="1">
      <c r="A86" s="17" t="s">
        <v>213</v>
      </c>
      <c r="B86" s="17">
        <v>93.0</v>
      </c>
      <c r="C86" s="17" t="s">
        <v>82</v>
      </c>
      <c r="D86" s="17" t="s">
        <v>443</v>
      </c>
      <c r="E86" s="17" t="s">
        <v>445</v>
      </c>
      <c r="F86" s="17" t="s">
        <v>217</v>
      </c>
    </row>
    <row r="87" ht="15.75" customHeight="1">
      <c r="A87" s="17" t="s">
        <v>213</v>
      </c>
      <c r="B87" s="17">
        <v>94.0</v>
      </c>
      <c r="C87" s="17" t="s">
        <v>82</v>
      </c>
      <c r="D87" s="17" t="s">
        <v>447</v>
      </c>
      <c r="E87" s="17" t="s">
        <v>448</v>
      </c>
      <c r="F87" s="17" t="s">
        <v>217</v>
      </c>
    </row>
    <row r="88" ht="15.75" customHeight="1">
      <c r="A88" s="17" t="s">
        <v>213</v>
      </c>
      <c r="B88" s="17">
        <v>95.0</v>
      </c>
      <c r="C88" s="17" t="s">
        <v>82</v>
      </c>
      <c r="D88" s="17" t="s">
        <v>449</v>
      </c>
      <c r="E88" s="17" t="s">
        <v>450</v>
      </c>
      <c r="F88" s="17" t="s">
        <v>217</v>
      </c>
    </row>
    <row r="89" ht="15.75" customHeight="1">
      <c r="A89" s="17" t="s">
        <v>213</v>
      </c>
      <c r="B89" s="17">
        <v>96.0</v>
      </c>
      <c r="C89" s="17" t="s">
        <v>82</v>
      </c>
      <c r="D89" s="17" t="s">
        <v>451</v>
      </c>
      <c r="E89" s="17" t="s">
        <v>453</v>
      </c>
      <c r="F89" s="17" t="s">
        <v>217</v>
      </c>
    </row>
    <row r="90" ht="15.75" customHeight="1">
      <c r="A90" s="17" t="s">
        <v>213</v>
      </c>
      <c r="B90" s="17">
        <v>97.0</v>
      </c>
      <c r="C90" s="17" t="s">
        <v>82</v>
      </c>
      <c r="D90" s="17" t="s">
        <v>454</v>
      </c>
      <c r="E90" s="17" t="s">
        <v>455</v>
      </c>
      <c r="F90" s="17" t="s">
        <v>217</v>
      </c>
    </row>
    <row r="91" ht="15.75" customHeight="1">
      <c r="A91" s="17" t="s">
        <v>213</v>
      </c>
      <c r="B91" s="17">
        <v>98.0</v>
      </c>
      <c r="C91" s="17" t="s">
        <v>82</v>
      </c>
      <c r="D91" s="17" t="s">
        <v>456</v>
      </c>
      <c r="E91" s="17" t="s">
        <v>457</v>
      </c>
      <c r="F91" s="17" t="s">
        <v>217</v>
      </c>
    </row>
    <row r="92" ht="15.75" customHeight="1">
      <c r="A92" s="17" t="s">
        <v>213</v>
      </c>
      <c r="B92" s="17">
        <v>99.0</v>
      </c>
      <c r="C92" s="17" t="s">
        <v>82</v>
      </c>
      <c r="D92" s="17" t="s">
        <v>459</v>
      </c>
      <c r="E92" s="17" t="s">
        <v>460</v>
      </c>
      <c r="F92" s="17" t="s">
        <v>217</v>
      </c>
    </row>
    <row r="93" ht="15.75" customHeight="1">
      <c r="A93" s="17" t="s">
        <v>213</v>
      </c>
      <c r="B93" s="17">
        <v>100.0</v>
      </c>
      <c r="C93" s="17" t="s">
        <v>82</v>
      </c>
      <c r="D93" s="17" t="s">
        <v>462</v>
      </c>
      <c r="E93" s="17" t="s">
        <v>463</v>
      </c>
      <c r="F93" s="17" t="s">
        <v>217</v>
      </c>
    </row>
    <row r="94" ht="15.75" customHeight="1">
      <c r="A94" s="17" t="s">
        <v>213</v>
      </c>
      <c r="B94" s="17">
        <v>101.0</v>
      </c>
      <c r="C94" s="17" t="s">
        <v>82</v>
      </c>
      <c r="D94" s="17" t="s">
        <v>464</v>
      </c>
      <c r="E94" s="17" t="s">
        <v>465</v>
      </c>
      <c r="F94" s="17" t="s">
        <v>217</v>
      </c>
    </row>
    <row r="95" ht="15.75" customHeight="1">
      <c r="A95" s="17" t="s">
        <v>213</v>
      </c>
      <c r="B95" s="17">
        <v>102.0</v>
      </c>
      <c r="C95" s="17" t="s">
        <v>82</v>
      </c>
      <c r="D95" s="17" t="s">
        <v>466</v>
      </c>
      <c r="E95" s="17" t="s">
        <v>467</v>
      </c>
      <c r="F95" s="17" t="s">
        <v>217</v>
      </c>
    </row>
    <row r="96" ht="15.75" customHeight="1">
      <c r="A96" s="17" t="s">
        <v>213</v>
      </c>
      <c r="B96" s="17">
        <v>103.0</v>
      </c>
      <c r="C96" s="17" t="s">
        <v>82</v>
      </c>
      <c r="D96" s="17" t="s">
        <v>468</v>
      </c>
      <c r="E96" s="17" t="s">
        <v>469</v>
      </c>
      <c r="F96" s="17" t="s">
        <v>217</v>
      </c>
    </row>
    <row r="97" ht="15.75" customHeight="1">
      <c r="A97" s="17" t="s">
        <v>213</v>
      </c>
      <c r="B97" s="17">
        <v>104.0</v>
      </c>
      <c r="C97" s="17" t="s">
        <v>82</v>
      </c>
      <c r="D97" s="17" t="s">
        <v>470</v>
      </c>
      <c r="E97" s="17" t="s">
        <v>471</v>
      </c>
      <c r="F97" s="17" t="s">
        <v>217</v>
      </c>
    </row>
    <row r="98" ht="15.75" customHeight="1">
      <c r="A98" s="17" t="s">
        <v>213</v>
      </c>
      <c r="B98" s="17">
        <v>105.0</v>
      </c>
      <c r="C98" s="17" t="s">
        <v>82</v>
      </c>
      <c r="D98" s="17" t="s">
        <v>472</v>
      </c>
      <c r="E98" s="17" t="s">
        <v>474</v>
      </c>
      <c r="F98" s="17" t="s">
        <v>217</v>
      </c>
    </row>
    <row r="99" ht="15.75" customHeight="1">
      <c r="A99" s="17" t="s">
        <v>213</v>
      </c>
      <c r="B99" s="17">
        <v>106.0</v>
      </c>
      <c r="C99" s="17" t="s">
        <v>82</v>
      </c>
      <c r="D99" s="17" t="s">
        <v>475</v>
      </c>
      <c r="E99" s="17" t="s">
        <v>476</v>
      </c>
      <c r="F99" s="17" t="s">
        <v>217</v>
      </c>
    </row>
    <row r="100" ht="15.75" customHeight="1">
      <c r="A100" s="17" t="s">
        <v>213</v>
      </c>
      <c r="B100" s="17">
        <v>107.0</v>
      </c>
      <c r="C100" s="17" t="s">
        <v>82</v>
      </c>
      <c r="D100" s="17" t="s">
        <v>477</v>
      </c>
      <c r="E100" s="17" t="s">
        <v>478</v>
      </c>
      <c r="F100" s="17" t="s">
        <v>217</v>
      </c>
    </row>
    <row r="101" ht="15.75" customHeight="1">
      <c r="A101" s="17" t="s">
        <v>213</v>
      </c>
      <c r="B101" s="17">
        <v>108.0</v>
      </c>
      <c r="C101" s="17" t="s">
        <v>82</v>
      </c>
      <c r="D101" s="17" t="s">
        <v>479</v>
      </c>
      <c r="E101" s="17" t="s">
        <v>480</v>
      </c>
      <c r="F101" s="17" t="s">
        <v>217</v>
      </c>
    </row>
    <row r="102" ht="15.75" customHeight="1">
      <c r="A102" s="17" t="s">
        <v>213</v>
      </c>
      <c r="B102" s="17">
        <v>109.0</v>
      </c>
      <c r="C102" s="17" t="s">
        <v>82</v>
      </c>
      <c r="D102" s="17" t="s">
        <v>483</v>
      </c>
      <c r="E102" s="17" t="s">
        <v>484</v>
      </c>
      <c r="F102" s="17" t="s">
        <v>217</v>
      </c>
    </row>
    <row r="103" ht="15.75" customHeight="1">
      <c r="A103" s="17" t="s">
        <v>213</v>
      </c>
      <c r="B103" s="17">
        <v>110.0</v>
      </c>
      <c r="C103" s="17" t="s">
        <v>82</v>
      </c>
      <c r="D103" s="17" t="s">
        <v>485</v>
      </c>
      <c r="E103" s="17" t="s">
        <v>486</v>
      </c>
      <c r="F103" s="17" t="s">
        <v>217</v>
      </c>
    </row>
    <row r="104" ht="15.75" customHeight="1">
      <c r="A104" s="17" t="s">
        <v>213</v>
      </c>
      <c r="B104" s="17">
        <v>111.0</v>
      </c>
      <c r="C104" s="17" t="s">
        <v>82</v>
      </c>
      <c r="D104" s="17" t="s">
        <v>488</v>
      </c>
      <c r="E104" s="17" t="s">
        <v>489</v>
      </c>
      <c r="F104" s="17" t="s">
        <v>217</v>
      </c>
    </row>
    <row r="105" ht="15.75" customHeight="1">
      <c r="A105" s="17" t="s">
        <v>213</v>
      </c>
      <c r="B105" s="17">
        <v>112.0</v>
      </c>
      <c r="C105" s="17" t="s">
        <v>82</v>
      </c>
      <c r="D105" s="17" t="s">
        <v>490</v>
      </c>
      <c r="E105" s="17" t="s">
        <v>491</v>
      </c>
      <c r="F105" s="17" t="s">
        <v>217</v>
      </c>
    </row>
    <row r="106" ht="15.75" customHeight="1">
      <c r="A106" s="17" t="s">
        <v>213</v>
      </c>
      <c r="B106" s="17">
        <v>113.0</v>
      </c>
      <c r="C106" s="17" t="s">
        <v>82</v>
      </c>
      <c r="D106" s="17" t="s">
        <v>390</v>
      </c>
      <c r="E106" s="17" t="s">
        <v>492</v>
      </c>
      <c r="F106" s="17" t="s">
        <v>217</v>
      </c>
    </row>
    <row r="107" ht="15.75" customHeight="1">
      <c r="A107" s="17" t="s">
        <v>213</v>
      </c>
      <c r="B107" s="17">
        <v>114.0</v>
      </c>
      <c r="C107" s="17" t="s">
        <v>82</v>
      </c>
      <c r="D107" s="17" t="s">
        <v>493</v>
      </c>
      <c r="E107" s="17" t="s">
        <v>494</v>
      </c>
      <c r="F107" s="17" t="s">
        <v>217</v>
      </c>
    </row>
    <row r="108" ht="15.75" customHeight="1">
      <c r="A108" s="17" t="s">
        <v>213</v>
      </c>
      <c r="B108" s="17">
        <v>115.0</v>
      </c>
      <c r="C108" s="17" t="s">
        <v>82</v>
      </c>
      <c r="D108" s="17" t="s">
        <v>495</v>
      </c>
      <c r="E108" s="17" t="s">
        <v>496</v>
      </c>
      <c r="F108" s="17" t="s">
        <v>217</v>
      </c>
    </row>
    <row r="109" ht="15.75" customHeight="1">
      <c r="A109" s="17" t="s">
        <v>213</v>
      </c>
      <c r="B109" s="17">
        <v>116.0</v>
      </c>
      <c r="C109" s="17" t="s">
        <v>82</v>
      </c>
      <c r="D109" s="17" t="s">
        <v>497</v>
      </c>
      <c r="E109" s="17" t="s">
        <v>379</v>
      </c>
      <c r="F109" s="17" t="s">
        <v>217</v>
      </c>
    </row>
    <row r="110" ht="15.75" customHeight="1">
      <c r="A110" s="17" t="s">
        <v>213</v>
      </c>
      <c r="B110" s="17">
        <v>117.0</v>
      </c>
      <c r="C110" s="17" t="s">
        <v>82</v>
      </c>
      <c r="D110" s="17" t="s">
        <v>498</v>
      </c>
      <c r="E110" s="17" t="s">
        <v>499</v>
      </c>
      <c r="F110" s="17" t="s">
        <v>217</v>
      </c>
    </row>
    <row r="111" ht="15.75" customHeight="1">
      <c r="A111" s="17" t="s">
        <v>213</v>
      </c>
      <c r="B111" s="17">
        <v>118.0</v>
      </c>
      <c r="C111" s="17" t="s">
        <v>82</v>
      </c>
      <c r="D111" s="17" t="s">
        <v>500</v>
      </c>
      <c r="E111" s="17" t="s">
        <v>501</v>
      </c>
      <c r="F111" s="17" t="s">
        <v>217</v>
      </c>
    </row>
    <row r="112" ht="15.75" customHeight="1">
      <c r="A112" s="17" t="s">
        <v>213</v>
      </c>
      <c r="B112" s="17">
        <v>121.0</v>
      </c>
      <c r="C112" s="17" t="s">
        <v>502</v>
      </c>
      <c r="D112" s="17" t="s">
        <v>503</v>
      </c>
      <c r="E112" s="17" t="s">
        <v>504</v>
      </c>
      <c r="F112" s="17" t="s">
        <v>217</v>
      </c>
    </row>
    <row r="113" ht="15.75" customHeight="1">
      <c r="A113" s="17" t="s">
        <v>213</v>
      </c>
      <c r="B113" s="17">
        <v>122.0</v>
      </c>
      <c r="C113" s="17" t="s">
        <v>502</v>
      </c>
      <c r="D113" s="17" t="s">
        <v>505</v>
      </c>
      <c r="E113" s="17" t="s">
        <v>506</v>
      </c>
      <c r="F113" s="17" t="s">
        <v>217</v>
      </c>
    </row>
    <row r="114" ht="15.75" customHeight="1">
      <c r="A114" s="17" t="s">
        <v>213</v>
      </c>
      <c r="B114" s="17">
        <v>123.0</v>
      </c>
      <c r="C114" s="17" t="s">
        <v>502</v>
      </c>
      <c r="D114" s="17" t="s">
        <v>507</v>
      </c>
      <c r="E114" s="17" t="s">
        <v>508</v>
      </c>
      <c r="F114" s="17" t="s">
        <v>217</v>
      </c>
    </row>
    <row r="115" ht="15.75" customHeight="1">
      <c r="A115" s="17" t="s">
        <v>213</v>
      </c>
      <c r="B115" s="17">
        <v>124.0</v>
      </c>
      <c r="C115" s="17" t="s">
        <v>502</v>
      </c>
      <c r="D115" s="17" t="s">
        <v>509</v>
      </c>
      <c r="E115" s="17" t="s">
        <v>510</v>
      </c>
      <c r="F115" s="17" t="s">
        <v>217</v>
      </c>
    </row>
    <row r="116" ht="15.75" customHeight="1">
      <c r="A116" s="17" t="s">
        <v>213</v>
      </c>
      <c r="B116" s="17">
        <v>125.0</v>
      </c>
      <c r="C116" s="17" t="s">
        <v>502</v>
      </c>
      <c r="D116" s="17" t="s">
        <v>511</v>
      </c>
      <c r="E116" s="17" t="s">
        <v>512</v>
      </c>
      <c r="F116" s="17" t="s">
        <v>217</v>
      </c>
    </row>
    <row r="117" ht="15.75" customHeight="1">
      <c r="A117" s="26" t="s">
        <v>213</v>
      </c>
      <c r="B117" s="26">
        <v>126.0</v>
      </c>
      <c r="C117" s="26" t="s">
        <v>502</v>
      </c>
      <c r="D117" s="26" t="s">
        <v>514</v>
      </c>
      <c r="E117" s="26" t="s">
        <v>515</v>
      </c>
      <c r="F117" s="26" t="s">
        <v>217</v>
      </c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4.0"/>
    <col customWidth="1" min="2" max="2" width="54.0"/>
    <col customWidth="1" min="3" max="3" width="24.0"/>
    <col customWidth="1" min="4" max="4" width="58.0"/>
    <col customWidth="1" min="5" max="26" width="8.63"/>
  </cols>
  <sheetData>
    <row r="1" ht="33.75" customHeight="1">
      <c r="A1" s="1" t="s">
        <v>248</v>
      </c>
    </row>
    <row r="3" ht="27.75" customHeight="1">
      <c r="A3" s="4" t="s">
        <v>249</v>
      </c>
      <c r="B3" s="4" t="s">
        <v>251</v>
      </c>
      <c r="C3" s="4" t="s">
        <v>253</v>
      </c>
      <c r="D3" s="4" t="s">
        <v>255</v>
      </c>
    </row>
    <row r="4">
      <c r="A4" s="8" t="s">
        <v>5</v>
      </c>
      <c r="B4" s="8" t="s">
        <v>258</v>
      </c>
      <c r="C4" s="8" t="s">
        <v>259</v>
      </c>
      <c r="D4" s="8" t="s">
        <v>260</v>
      </c>
    </row>
    <row r="5">
      <c r="A5" s="17" t="s">
        <v>7</v>
      </c>
      <c r="B5" s="17" t="s">
        <v>264</v>
      </c>
      <c r="C5" s="17" t="s">
        <v>259</v>
      </c>
      <c r="D5" s="17" t="s">
        <v>265</v>
      </c>
    </row>
    <row r="6">
      <c r="A6" s="17" t="s">
        <v>8</v>
      </c>
      <c r="B6" s="17" t="s">
        <v>268</v>
      </c>
      <c r="C6" s="17" t="s">
        <v>259</v>
      </c>
      <c r="D6" s="17" t="s">
        <v>269</v>
      </c>
    </row>
    <row r="7">
      <c r="A7" s="17" t="s">
        <v>11</v>
      </c>
      <c r="B7" s="17" t="s">
        <v>270</v>
      </c>
      <c r="C7" s="17" t="s">
        <v>259</v>
      </c>
      <c r="D7" s="17" t="s">
        <v>272</v>
      </c>
    </row>
    <row r="8">
      <c r="A8" s="17" t="s">
        <v>15</v>
      </c>
      <c r="B8" s="17" t="s">
        <v>274</v>
      </c>
      <c r="C8" s="17" t="s">
        <v>259</v>
      </c>
      <c r="D8" s="17" t="s">
        <v>277</v>
      </c>
    </row>
    <row r="9">
      <c r="A9" s="17" t="s">
        <v>18</v>
      </c>
      <c r="B9" s="17" t="s">
        <v>279</v>
      </c>
      <c r="C9" s="17" t="s">
        <v>259</v>
      </c>
      <c r="D9" s="17" t="s">
        <v>280</v>
      </c>
    </row>
    <row r="10">
      <c r="A10" s="17" t="s">
        <v>20</v>
      </c>
      <c r="B10" s="17" t="s">
        <v>281</v>
      </c>
      <c r="C10" s="17" t="s">
        <v>259</v>
      </c>
      <c r="D10" s="17" t="s">
        <v>283</v>
      </c>
    </row>
    <row r="11">
      <c r="A11" s="17" t="s">
        <v>22</v>
      </c>
      <c r="B11" s="17" t="s">
        <v>286</v>
      </c>
      <c r="C11" s="17" t="s">
        <v>259</v>
      </c>
      <c r="D11" s="17" t="s">
        <v>288</v>
      </c>
    </row>
    <row r="12">
      <c r="A12" s="17" t="s">
        <v>28</v>
      </c>
      <c r="B12" s="17" t="s">
        <v>291</v>
      </c>
      <c r="C12" s="17" t="s">
        <v>292</v>
      </c>
      <c r="D12" s="17" t="s">
        <v>294</v>
      </c>
    </row>
    <row r="13">
      <c r="A13" s="17" t="s">
        <v>30</v>
      </c>
      <c r="B13" s="17" t="s">
        <v>297</v>
      </c>
      <c r="C13" s="17" t="s">
        <v>259</v>
      </c>
      <c r="D13" s="17" t="s">
        <v>299</v>
      </c>
    </row>
    <row r="14">
      <c r="A14" s="26" t="s">
        <v>31</v>
      </c>
      <c r="B14" s="26" t="s">
        <v>300</v>
      </c>
      <c r="C14" s="26" t="s">
        <v>292</v>
      </c>
      <c r="D14" s="26" t="s">
        <v>302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